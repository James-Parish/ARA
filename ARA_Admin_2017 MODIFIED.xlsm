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2" windowWidth="21840" windowHeight="13176"/>
  </bookViews>
  <sheets>
    <sheet name="Sheet1" sheetId="1" r:id="rId1"/>
    <sheet name="hazards" sheetId="2" r:id="rId2"/>
    <sheet name="CounterMeasures" sheetId="3" r:id="rId3"/>
  </sheets>
  <definedNames>
    <definedName name="access_egress">CounterMeasures!$A$3:$A$13</definedName>
    <definedName name="acetylene">CounterMeasures!$B$3:$B$10</definedName>
    <definedName name="animals">CounterMeasures!$C$3:$C$11</definedName>
    <definedName name="asbestos">CounterMeasures!$D$3:$D$14</definedName>
    <definedName name="biological">CounterMeasures!$E$3:$E$16</definedName>
    <definedName name="building_construction">CounterMeasures!$F$3:$F$11</definedName>
    <definedName name="chemicals">CounterMeasures!$G$3:$G$17</definedName>
    <definedName name="collapsed_building">CounterMeasures!$H$3:$H$17</definedName>
    <definedName name="confined_space">CounterMeasures!$I$3:$I$12</definedName>
    <definedName name="disease">CounterMeasures!$J$3:$J$18</definedName>
    <definedName name="electricity">CounterMeasures!$K$3:$K$17</definedName>
    <definedName name="environmental">CounterMeasures!$L$3:$L$27</definedName>
    <definedName name="fall_from_height">CounterMeasures!$M$3:$M$16</definedName>
    <definedName name="fatigue">CounterMeasures!$N$3:$N$8</definedName>
    <definedName name="fire_explosion">CounterMeasures!$O$3:$O$24</definedName>
    <definedName name="gas_mains_lpg">CounterMeasures!$P$3:$P$21</definedName>
    <definedName name="insufficient_ppe">CounterMeasures!$Q$3:$Q$4</definedName>
    <definedName name="machinery">CounterMeasures!$R$3:$R$15</definedName>
    <definedName name="manual_handling">CounterMeasures!$S$3:$S$9</definedName>
    <definedName name="moving_vehicles">CounterMeasures!$T$3:$T$17</definedName>
    <definedName name="noise">CounterMeasures!$U$3:$U$9</definedName>
    <definedName name="poor_housekeeping">CounterMeasures!$V$3:$V$11</definedName>
    <definedName name="poor_lighting">CounterMeasures!$W$3:$W$9</definedName>
    <definedName name="pressure_systems">CounterMeasures!$X$3:$X$14</definedName>
    <definedName name="radiation">CounterMeasures!$Y$3:$Y$21</definedName>
    <definedName name="smoke">CounterMeasures!$AA$3:$AA$23</definedName>
    <definedName name="stacking_storage">CounterMeasures!$AB$3:$AB$8</definedName>
    <definedName name="struck_object">CounterMeasures!$AC$3:$AC$10</definedName>
    <definedName name="temperature">CounterMeasures!$AD$3:$AD$13</definedName>
    <definedName name="uneven_surfaces">CounterMeasures!$Z$3:$Z$15</definedName>
    <definedName name="unstable_ground">CounterMeasures!$AE$3:$AE$12</definedName>
    <definedName name="ventilation">CounterMeasures!$AF$3:$AF$8</definedName>
    <definedName name="vibration">CounterMeasures!$AG$3:$AG$16</definedName>
    <definedName name="violence">CounterMeasures!$AH$3:$AH$7</definedName>
    <definedName name="water">CounterMeasures!$AI$3:$AI$14</definedName>
  </definedNames>
  <calcPr calcId="145621"/>
</workbook>
</file>

<file path=xl/calcChain.xml><?xml version="1.0" encoding="utf-8"?>
<calcChain xmlns="http://schemas.openxmlformats.org/spreadsheetml/2006/main">
  <c r="J62" i="1" l="1"/>
  <c r="A15" i="1" l="1"/>
  <c r="A44" i="1" l="1"/>
  <c r="A40" i="1"/>
  <c r="B62" i="1" l="1"/>
  <c r="H37" i="1"/>
  <c r="C37" i="1"/>
  <c r="C36" i="1"/>
  <c r="B35" i="1"/>
  <c r="E36" i="1"/>
  <c r="G35" i="1"/>
  <c r="M35" i="1"/>
  <c r="Q35" i="1"/>
  <c r="P56" i="1"/>
  <c r="P52" i="1"/>
  <c r="P48" i="1"/>
  <c r="P44" i="1"/>
  <c r="P40" i="1"/>
  <c r="J56" i="1"/>
  <c r="J52" i="1"/>
  <c r="J48" i="1"/>
  <c r="J44" i="1"/>
  <c r="J40" i="1"/>
  <c r="P7" i="1"/>
  <c r="J7" i="1"/>
  <c r="P23" i="1" l="1"/>
  <c r="P19" i="1"/>
  <c r="P15" i="1"/>
  <c r="P11" i="1"/>
  <c r="J23" i="1" l="1"/>
  <c r="J19" i="1"/>
  <c r="J15" i="1"/>
  <c r="J11" i="1"/>
  <c r="Q61" i="1" l="1"/>
  <c r="K61" i="1"/>
  <c r="E63" i="1"/>
  <c r="F62" i="1"/>
  <c r="Q37" i="1"/>
  <c r="N36" i="1"/>
  <c r="A52" i="1"/>
  <c r="A48" i="1"/>
  <c r="A23" i="1"/>
  <c r="A19" i="1"/>
  <c r="A11" i="1"/>
  <c r="A7" i="1"/>
</calcChain>
</file>

<file path=xl/sharedStrings.xml><?xml version="1.0" encoding="utf-8"?>
<sst xmlns="http://schemas.openxmlformats.org/spreadsheetml/2006/main" count="536" uniqueCount="241">
  <si>
    <t>Name:</t>
  </si>
  <si>
    <t>ARA SHOULD BE CARRIED OUT AS SOON AS TIME OR RESOURCES PERMIT</t>
  </si>
  <si>
    <t>Rank/Role:</t>
  </si>
  <si>
    <t>Incident No:</t>
  </si>
  <si>
    <t>Whole Incident:</t>
  </si>
  <si>
    <t>Incident Address:</t>
  </si>
  <si>
    <t>Sector Name/Number:</t>
  </si>
  <si>
    <t>Sheet</t>
  </si>
  <si>
    <t>Hazards</t>
  </si>
  <si>
    <t>Risk Groups</t>
  </si>
  <si>
    <t>Risk</t>
  </si>
  <si>
    <t>(1-5)</t>
  </si>
  <si>
    <t xml:space="preserve">L </t>
  </si>
  <si>
    <t>S</t>
  </si>
  <si>
    <t>Total</t>
  </si>
  <si>
    <t>LXS</t>
  </si>
  <si>
    <t>Measures</t>
  </si>
  <si>
    <t>Existing Control</t>
  </si>
  <si>
    <t>Additional</t>
  </si>
  <si>
    <t>Level of</t>
  </si>
  <si>
    <t>risk</t>
  </si>
  <si>
    <t>User Pin</t>
  </si>
  <si>
    <t>L</t>
  </si>
  <si>
    <t>SXL</t>
  </si>
  <si>
    <t>Do any sector activities/hazards directly affect other sectors or agencies?</t>
  </si>
  <si>
    <t>If yes have they been informed?</t>
  </si>
  <si>
    <t>IC Name</t>
  </si>
  <si>
    <t>IC Pin</t>
  </si>
  <si>
    <t>Time</t>
  </si>
  <si>
    <t>Tactical Mode</t>
  </si>
  <si>
    <t>In</t>
  </si>
  <si>
    <t>Place</t>
  </si>
  <si>
    <t>Date:</t>
  </si>
  <si>
    <t>Time:</t>
  </si>
  <si>
    <t>1 of 2</t>
  </si>
  <si>
    <t>2 of 2</t>
  </si>
  <si>
    <t>Fatigue</t>
  </si>
  <si>
    <t>Smoke</t>
  </si>
  <si>
    <t>Access / Egress</t>
  </si>
  <si>
    <t>Acetylene</t>
  </si>
  <si>
    <t>Animals</t>
  </si>
  <si>
    <t>biological</t>
  </si>
  <si>
    <t>Building Construction</t>
  </si>
  <si>
    <t>Chemicals</t>
  </si>
  <si>
    <t>Colapsed Buildings</t>
  </si>
  <si>
    <t>Confined Space</t>
  </si>
  <si>
    <t>Disease</t>
  </si>
  <si>
    <t>Electricity</t>
  </si>
  <si>
    <t>Enviromental Hazard</t>
  </si>
  <si>
    <t>Fall from Height</t>
  </si>
  <si>
    <t>Fire / Explosion</t>
  </si>
  <si>
    <t>Gas,Mains / LPG</t>
  </si>
  <si>
    <t>Insufficent PPE</t>
  </si>
  <si>
    <t>Machinery</t>
  </si>
  <si>
    <t>Manual Handling</t>
  </si>
  <si>
    <t>Moving Vehicles</t>
  </si>
  <si>
    <t>Noise</t>
  </si>
  <si>
    <t>Poor Housekeeping</t>
  </si>
  <si>
    <t>Poor Lighting</t>
  </si>
  <si>
    <t>Pressure Systems</t>
  </si>
  <si>
    <t>Radiation</t>
  </si>
  <si>
    <t>Uneven/Slppery</t>
  </si>
  <si>
    <t>Stacking/Storage</t>
  </si>
  <si>
    <t>Temperature</t>
  </si>
  <si>
    <t>Unstable ground</t>
  </si>
  <si>
    <t>Ventilation</t>
  </si>
  <si>
    <t>Vibration</t>
  </si>
  <si>
    <t>Violence</t>
  </si>
  <si>
    <t>Water</t>
  </si>
  <si>
    <t>Additional Resources</t>
  </si>
  <si>
    <t>Covering Jets</t>
  </si>
  <si>
    <t>Crew Briefings</t>
  </si>
  <si>
    <t>Distance</t>
  </si>
  <si>
    <t>Evacuation</t>
  </si>
  <si>
    <t>Minimum Crew Numbers</t>
  </si>
  <si>
    <t>BA Procedures</t>
  </si>
  <si>
    <t>Breathing Apparatus</t>
  </si>
  <si>
    <t>Damping Down</t>
  </si>
  <si>
    <t>Decontamination</t>
  </si>
  <si>
    <t>Ear Protection</t>
  </si>
  <si>
    <t>Eye Protection</t>
  </si>
  <si>
    <t>GTS/CPC</t>
  </si>
  <si>
    <t>Hi Viz Clothing</t>
  </si>
  <si>
    <t>Isolation</t>
  </si>
  <si>
    <t>Lighting</t>
  </si>
  <si>
    <t>Limit Exposure</t>
  </si>
  <si>
    <t>Police Assistance</t>
  </si>
  <si>
    <t>PPE</t>
  </si>
  <si>
    <t>Repositioning of Appliance</t>
  </si>
  <si>
    <t>Restricted Access/Cordons</t>
  </si>
  <si>
    <t>Sectorisation</t>
  </si>
  <si>
    <t>Shielding</t>
  </si>
  <si>
    <t>Signage</t>
  </si>
  <si>
    <t>Specialist Officer</t>
  </si>
  <si>
    <t>Supervision</t>
  </si>
  <si>
    <t>Traffic Management</t>
  </si>
  <si>
    <t>WAH Equipment</t>
  </si>
  <si>
    <t>Water Curtains</t>
  </si>
  <si>
    <t>Struck/Object</t>
  </si>
  <si>
    <t>Call Sign</t>
  </si>
  <si>
    <t>Designated Access</t>
  </si>
  <si>
    <t>Hydration</t>
  </si>
  <si>
    <t>Safety Lines</t>
  </si>
  <si>
    <t>Briefing</t>
  </si>
  <si>
    <t>Cordon</t>
  </si>
  <si>
    <t>Dedicated Ladders</t>
  </si>
  <si>
    <t>Coning</t>
  </si>
  <si>
    <t>Safety Observers</t>
  </si>
  <si>
    <t>Defined Access Route</t>
  </si>
  <si>
    <t>Defined Egress Route</t>
  </si>
  <si>
    <t>Removal prior to involvement</t>
  </si>
  <si>
    <t>Monitors</t>
  </si>
  <si>
    <t>Safety Observer</t>
  </si>
  <si>
    <t>Hazard taping</t>
  </si>
  <si>
    <t>Hard protection</t>
  </si>
  <si>
    <t>Hood/halters/muzzle</t>
  </si>
  <si>
    <t>Slings</t>
  </si>
  <si>
    <t>Nil by mouth</t>
  </si>
  <si>
    <t>Respiratory protection</t>
  </si>
  <si>
    <t>Asbestos</t>
  </si>
  <si>
    <t>Stay upwind</t>
  </si>
  <si>
    <t>Dust Masks</t>
  </si>
  <si>
    <t>Respirators</t>
  </si>
  <si>
    <t>BA</t>
  </si>
  <si>
    <t>GTS</t>
  </si>
  <si>
    <t>Spraying Down</t>
  </si>
  <si>
    <t>Prevent disturbance</t>
  </si>
  <si>
    <t>Safety observers</t>
  </si>
  <si>
    <t>Disinfection</t>
  </si>
  <si>
    <t>Dust masks</t>
  </si>
  <si>
    <t>Sharps control</t>
  </si>
  <si>
    <t>Contaminant procedures</t>
  </si>
  <si>
    <t>Prevent entry</t>
  </si>
  <si>
    <t>Restrict access</t>
  </si>
  <si>
    <t>Cordons</t>
  </si>
  <si>
    <t>Hazard Zones/taping</t>
  </si>
  <si>
    <t>Tactical withdrawal</t>
  </si>
  <si>
    <t>Monitoring equipment</t>
  </si>
  <si>
    <t>Thermal monitoring</t>
  </si>
  <si>
    <t>Fire kit</t>
  </si>
  <si>
    <t>Cordon/positioning</t>
  </si>
  <si>
    <t>Stay uphill</t>
  </si>
  <si>
    <t>Intrinsically safe equipment</t>
  </si>
  <si>
    <t>Specialist advice</t>
  </si>
  <si>
    <t>Minimum staff</t>
  </si>
  <si>
    <t>Safety lines</t>
  </si>
  <si>
    <t>Gas monitoring</t>
  </si>
  <si>
    <t>Services isolation</t>
  </si>
  <si>
    <t>Inner Cordon</t>
  </si>
  <si>
    <t>Shoring</t>
  </si>
  <si>
    <t>Jacking</t>
  </si>
  <si>
    <t>Packing/chocking</t>
  </si>
  <si>
    <t>Safety Officer</t>
  </si>
  <si>
    <t>Don't go</t>
  </si>
  <si>
    <t>Contingency plan</t>
  </si>
  <si>
    <t>Minimum numbers</t>
  </si>
  <si>
    <t>Feet first entry</t>
  </si>
  <si>
    <t>PPE/GTS</t>
  </si>
  <si>
    <t>Contaminant disposal</t>
  </si>
  <si>
    <t>Hand hygiene</t>
  </si>
  <si>
    <t>Electrical gloves</t>
  </si>
  <si>
    <t>Restricted Access</t>
  </si>
  <si>
    <t>Non-conductive equipment</t>
  </si>
  <si>
    <t>Hazard zones/ taping</t>
  </si>
  <si>
    <t>PPE cleaning</t>
  </si>
  <si>
    <t>EA liaison</t>
  </si>
  <si>
    <t>Conservation body liaison</t>
  </si>
  <si>
    <t>Water spray into plume</t>
  </si>
  <si>
    <t>Contain (Grab pack/EPU)</t>
  </si>
  <si>
    <t>Absorb (Grab pack/EPU)</t>
  </si>
  <si>
    <t>Reduce quantity of media</t>
  </si>
  <si>
    <t>Controlled burn</t>
  </si>
  <si>
    <t>Alternate media</t>
  </si>
  <si>
    <t>Recycle FF water</t>
  </si>
  <si>
    <t>Dilution</t>
  </si>
  <si>
    <t>Discharge to foul sewer</t>
  </si>
  <si>
    <t>Extinguish fire</t>
  </si>
  <si>
    <t>Accelerated burn</t>
  </si>
  <si>
    <t>Air quality advice</t>
  </si>
  <si>
    <t>Separation in bund</t>
  </si>
  <si>
    <t>Removal from bund</t>
  </si>
  <si>
    <t>Quench in bund</t>
  </si>
  <si>
    <t>Treatment</t>
  </si>
  <si>
    <t>Disposal</t>
  </si>
  <si>
    <t>Defined access route</t>
  </si>
  <si>
    <t>Defined egress route</t>
  </si>
  <si>
    <t>Emergency team</t>
  </si>
  <si>
    <t>Work platform</t>
  </si>
  <si>
    <t>Leg lock</t>
  </si>
  <si>
    <t>Aerial appliances</t>
  </si>
  <si>
    <t>Scaffold hooks</t>
  </si>
  <si>
    <t>Specialist operators</t>
  </si>
  <si>
    <t>Tactical advisor</t>
  </si>
  <si>
    <t>Double redundancy</t>
  </si>
  <si>
    <t>Fall arrest</t>
  </si>
  <si>
    <t>Rehydration</t>
  </si>
  <si>
    <t>PPE level selection</t>
  </si>
  <si>
    <t>Refreshments</t>
  </si>
  <si>
    <t>First aid point</t>
  </si>
  <si>
    <t>Isolate services</t>
  </si>
  <si>
    <t>Safety observer</t>
  </si>
  <si>
    <t>Repositioning appliances</t>
  </si>
  <si>
    <t>Recovery areas</t>
  </si>
  <si>
    <t>Tactical Withdrawal</t>
  </si>
  <si>
    <t>TIC</t>
  </si>
  <si>
    <t>Hazard identification</t>
  </si>
  <si>
    <t>Breaks</t>
  </si>
  <si>
    <t>Equipment</t>
  </si>
  <si>
    <t>Route planning</t>
  </si>
  <si>
    <t>Positioning of Appliance</t>
  </si>
  <si>
    <t>Coning off</t>
  </si>
  <si>
    <t>Buffer lane</t>
  </si>
  <si>
    <t>Stop traffic</t>
  </si>
  <si>
    <t>Relocating Appliance</t>
  </si>
  <si>
    <t>Specialist advisor</t>
  </si>
  <si>
    <t>Venting/make safe</t>
  </si>
  <si>
    <t>Specialist Advisors</t>
  </si>
  <si>
    <t>Up wind</t>
  </si>
  <si>
    <t>Hazard taping off</t>
  </si>
  <si>
    <t>Remain upwind</t>
  </si>
  <si>
    <t>Water Curtains (Plume)</t>
  </si>
  <si>
    <t>Remain up wind</t>
  </si>
  <si>
    <t>Reduce media application</t>
  </si>
  <si>
    <t>Briefings</t>
  </si>
  <si>
    <t>Hi-Viz clothing</t>
  </si>
  <si>
    <t>Minimum crew</t>
  </si>
  <si>
    <t>Damping down</t>
  </si>
  <si>
    <t>Limited exposure</t>
  </si>
  <si>
    <t>Restricted access</t>
  </si>
  <si>
    <t>Water curtains</t>
  </si>
  <si>
    <t>BA Procedures (Shuffle)</t>
  </si>
  <si>
    <t>Safety jets</t>
  </si>
  <si>
    <t>Re-site appliance</t>
  </si>
  <si>
    <t>Safety rails</t>
  </si>
  <si>
    <t>PPE (Life Jacket, dry suits)</t>
  </si>
  <si>
    <t>Down stream safety observers</t>
  </si>
  <si>
    <t>Upstream spotters</t>
  </si>
  <si>
    <t>Downstream Safety line</t>
  </si>
  <si>
    <t>Life buoy</t>
  </si>
  <si>
    <t>restricted access (3m)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</si>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</sst>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Border="1"/>
    <xf numFmtId="0" fontId="1" fillId="0" borderId="2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9" xfId="0" applyFont="1" applyBorder="1"/>
    <xf numFmtId="0" fontId="0" fillId="0" borderId="10" xfId="0" applyBorder="1"/>
    <xf numFmtId="16" fontId="1" fillId="0" borderId="0" xfId="0" applyNumberFormat="1" applyFont="1" applyBorder="1"/>
    <xf numFmtId="0" fontId="1" fillId="0" borderId="0" xfId="0" applyFont="1" applyFill="1" applyBorder="1" applyAlignment="1">
      <alignment horizontal="center"/>
    </xf>
    <xf numFmtId="0" fontId="0" fillId="0" borderId="7" xfId="0" applyBorder="1"/>
    <xf numFmtId="0" fontId="1" fillId="0" borderId="5" xfId="0" applyFont="1" applyBorder="1"/>
    <xf numFmtId="0" fontId="1" fillId="0" borderId="6" xfId="0" applyFont="1" applyBorder="1" applyAlignment="1"/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9" xfId="0" applyBorder="1"/>
    <xf numFmtId="0" fontId="0" fillId="0" borderId="8" xfId="0" applyBorder="1"/>
    <xf numFmtId="0" fontId="1" fillId="0" borderId="2" xfId="0" applyFont="1" applyFill="1" applyBorder="1" applyAlignment="1">
      <alignment horizontal="center"/>
    </xf>
    <xf numFmtId="0" fontId="0" fillId="0" borderId="2" xfId="0" applyFill="1" applyBorder="1" applyAlignment="1" applyProtection="1">
      <alignment horizontal="center" shrinkToFit="1"/>
      <protection locked="0"/>
    </xf>
    <xf numFmtId="0" fontId="0" fillId="0" borderId="0" xfId="0" applyFill="1" applyBorder="1" applyAlignment="1" applyProtection="1">
      <alignment horizontal="center" shrinkToFit="1"/>
      <protection locked="0"/>
    </xf>
    <xf numFmtId="0" fontId="0" fillId="0" borderId="6" xfId="0" applyFill="1" applyBorder="1" applyAlignment="1" applyProtection="1">
      <alignment horizontal="center" shrinkToFit="1"/>
      <protection locked="0"/>
    </xf>
    <xf numFmtId="0" fontId="1" fillId="0" borderId="4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0" xfId="0" applyFont="1" applyBorder="1" applyAlignment="1"/>
    <xf numFmtId="0" fontId="1" fillId="0" borderId="9" xfId="0" applyFont="1" applyFill="1" applyBorder="1" applyAlignment="1"/>
    <xf numFmtId="0" fontId="1" fillId="0" borderId="0" xfId="0" applyFont="1" applyBorder="1" applyAlignment="1">
      <alignment horizontal="center"/>
    </xf>
    <xf numFmtId="0" fontId="0" fillId="0" borderId="6" xfId="0" applyBorder="1"/>
    <xf numFmtId="0" fontId="0" fillId="0" borderId="9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20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1" fillId="0" borderId="0" xfId="0" applyFont="1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6" xfId="0" applyFont="1" applyFill="1" applyBorder="1" applyAlignment="1" applyProtection="1">
      <alignment horizontal="center" vertical="center" shrinkToFit="1"/>
      <protection locked="0"/>
    </xf>
    <xf numFmtId="0" fontId="3" fillId="0" borderId="2" xfId="0" applyFont="1" applyFill="1" applyBorder="1" applyAlignment="1" applyProtection="1">
      <alignment horizontal="center" vertical="center" shrinkToFit="1"/>
      <protection locked="0"/>
    </xf>
    <xf numFmtId="0" fontId="5" fillId="0" borderId="0" xfId="0" applyFont="1"/>
    <xf numFmtId="0" fontId="5" fillId="0" borderId="0" xfId="0" applyFont="1" applyAlignment="1">
      <alignment shrinkToFi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2" xfId="0" applyFont="1" applyFill="1" applyBorder="1" applyAlignment="1">
      <alignment horizontal="center" vertical="center" shrinkToFit="1"/>
    </xf>
    <xf numFmtId="0" fontId="3" fillId="0" borderId="6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shrinkToFit="1"/>
    </xf>
    <xf numFmtId="0" fontId="1" fillId="0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9" xfId="0" applyBorder="1" applyAlignment="1"/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/>
    <xf numFmtId="0" fontId="3" fillId="0" borderId="11" xfId="0" applyFont="1" applyBorder="1" applyAlignment="1"/>
    <xf numFmtId="0" fontId="1" fillId="0" borderId="2" xfId="0" applyFont="1" applyBorder="1" applyAlignment="1">
      <alignment horizontal="center"/>
    </xf>
    <xf numFmtId="0" fontId="3" fillId="0" borderId="1" xfId="0" applyFont="1" applyFill="1" applyBorder="1" applyAlignment="1">
      <alignment horizontal="center" vertical="center" shrinkToFit="1"/>
    </xf>
    <xf numFmtId="0" fontId="3" fillId="0" borderId="3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shrinkToFit="1"/>
    </xf>
    <xf numFmtId="20" fontId="3" fillId="0" borderId="9" xfId="0" applyNumberFormat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14" fontId="3" fillId="0" borderId="9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9" xfId="0" applyFont="1" applyBorder="1" applyAlignment="1"/>
    <xf numFmtId="0" fontId="2" fillId="0" borderId="6" xfId="0" applyFont="1" applyFill="1" applyBorder="1" applyAlignment="1">
      <alignment horizontal="center" vertical="center" shrinkToFit="1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/>
    <xf numFmtId="0" fontId="0" fillId="0" borderId="11" xfId="0" applyBorder="1" applyAlignment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Fill="1" applyBorder="1" applyAlignment="1">
      <alignment horizontal="center" vertical="center" shrinkToFit="1"/>
    </xf>
    <xf numFmtId="0" fontId="0" fillId="0" borderId="2" xfId="0" applyFill="1" applyBorder="1" applyAlignment="1">
      <alignment horizontal="center" vertical="center" shrinkToFit="1"/>
    </xf>
    <xf numFmtId="0" fontId="0" fillId="0" borderId="3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5" xfId="0" applyFill="1" applyBorder="1" applyAlignment="1">
      <alignment horizontal="center" vertical="center" shrinkToFit="1"/>
    </xf>
    <xf numFmtId="0" fontId="0" fillId="0" borderId="6" xfId="0" applyFill="1" applyBorder="1" applyAlignment="1">
      <alignment horizontal="center" vertical="center" shrinkToFit="1"/>
    </xf>
    <xf numFmtId="0" fontId="1" fillId="0" borderId="8" xfId="0" applyFont="1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Fill="1" applyBorder="1" applyAlignment="1">
      <alignment horizontal="center" shrinkToFit="1"/>
    </xf>
    <xf numFmtId="0" fontId="0" fillId="0" borderId="6" xfId="0" applyFill="1" applyBorder="1" applyAlignment="1">
      <alignment horizontal="center" shrinkToFit="1"/>
    </xf>
    <xf numFmtId="0" fontId="0" fillId="0" borderId="2" xfId="0" applyFill="1" applyBorder="1" applyAlignment="1">
      <alignment horizontal="center" shrinkToFit="1"/>
    </xf>
    <xf numFmtId="20" fontId="0" fillId="0" borderId="9" xfId="0" applyNumberFormat="1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6"/>
  <sheetViews>
    <sheetView showZeros="0" tabSelected="1" workbookViewId="0">
      <selection activeCell="J62" sqref="J62:K62"/>
    </sheetView>
  </sheetViews>
  <sheetFormatPr defaultRowHeight="14.4" x14ac:dyDescent="0.3"/>
  <cols>
    <col min="2" max="2" width="6.88671875" customWidth="1"/>
    <col min="3" max="3" width="4.44140625" customWidth="1"/>
    <col min="4" max="4" width="20.5546875" customWidth="1"/>
    <col min="6" max="6" width="6.5546875" customWidth="1"/>
    <col min="7" max="7" width="4.109375" customWidth="1"/>
    <col min="8" max="8" width="4.6640625" customWidth="1"/>
    <col min="9" max="9" width="4.5546875" customWidth="1"/>
    <col min="10" max="10" width="5.109375" customWidth="1"/>
    <col min="11" max="11" width="9.33203125" customWidth="1"/>
    <col min="12" max="12" width="10" customWidth="1"/>
    <col min="14" max="14" width="4.44140625" customWidth="1"/>
    <col min="15" max="15" width="4.88671875" customWidth="1"/>
    <col min="16" max="16" width="4.5546875" customWidth="1"/>
    <col min="17" max="17" width="7.6640625" customWidth="1"/>
    <col min="18" max="18" width="5.6640625" customWidth="1"/>
  </cols>
  <sheetData>
    <row r="1" spans="1:18" ht="15.75" thickBot="1" x14ac:dyDescent="0.3">
      <c r="A1" s="60" t="s">
        <v>1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2"/>
      <c r="P1" s="62"/>
      <c r="Q1" s="62"/>
      <c r="R1" s="7"/>
    </row>
    <row r="2" spans="1:18" ht="15.75" thickBot="1" x14ac:dyDescent="0.3">
      <c r="A2" s="11" t="s">
        <v>0</v>
      </c>
      <c r="B2" s="85"/>
      <c r="C2" s="85"/>
      <c r="D2" s="86"/>
      <c r="E2" s="80" t="s">
        <v>5</v>
      </c>
      <c r="F2" s="81"/>
      <c r="G2" s="63"/>
      <c r="H2" s="63"/>
      <c r="I2" s="63"/>
      <c r="J2" s="63"/>
      <c r="K2" s="64"/>
      <c r="L2" s="12" t="s">
        <v>32</v>
      </c>
      <c r="M2" s="76">
        <v>42769</v>
      </c>
      <c r="N2" s="66"/>
      <c r="O2" s="61" t="s">
        <v>33</v>
      </c>
      <c r="P2" s="61"/>
      <c r="Q2" s="74">
        <v>0.42222222222222222</v>
      </c>
      <c r="R2" s="75"/>
    </row>
    <row r="3" spans="1:18" ht="15.75" thickBot="1" x14ac:dyDescent="0.3">
      <c r="A3" s="82" t="s">
        <v>2</v>
      </c>
      <c r="B3" s="83"/>
      <c r="C3" s="66"/>
      <c r="D3" s="75"/>
      <c r="E3" s="65"/>
      <c r="F3" s="66"/>
      <c r="G3" s="66"/>
      <c r="H3" s="67"/>
      <c r="I3" s="67"/>
      <c r="J3" s="68"/>
      <c r="K3" s="69"/>
      <c r="L3" s="61" t="s">
        <v>4</v>
      </c>
      <c r="M3" s="61"/>
      <c r="N3" s="66" t="s">
        <v>240</v>
      </c>
      <c r="O3" s="66"/>
      <c r="P3" s="66"/>
      <c r="Q3" s="66"/>
      <c r="R3" s="10"/>
    </row>
    <row r="4" spans="1:18" ht="15.75" thickBot="1" x14ac:dyDescent="0.3">
      <c r="A4" s="82" t="s">
        <v>3</v>
      </c>
      <c r="B4" s="83"/>
      <c r="C4" s="66"/>
      <c r="D4" s="75"/>
      <c r="E4" s="82" t="s">
        <v>6</v>
      </c>
      <c r="F4" s="83"/>
      <c r="G4" s="83"/>
      <c r="H4" s="66"/>
      <c r="I4" s="66"/>
      <c r="J4" s="78"/>
      <c r="K4" s="78"/>
      <c r="L4" s="6" t="s">
        <v>7</v>
      </c>
      <c r="M4" s="37" t="s">
        <v>34</v>
      </c>
      <c r="N4" s="61" t="s">
        <v>21</v>
      </c>
      <c r="O4" s="61"/>
      <c r="P4" s="61"/>
      <c r="Q4" s="66"/>
      <c r="R4" s="75"/>
    </row>
    <row r="5" spans="1:18" ht="15" x14ac:dyDescent="0.25">
      <c r="A5" s="84" t="s">
        <v>8</v>
      </c>
      <c r="B5" s="70"/>
      <c r="C5" s="70"/>
      <c r="D5" s="2" t="s">
        <v>9</v>
      </c>
      <c r="E5" s="70" t="s">
        <v>17</v>
      </c>
      <c r="F5" s="70"/>
      <c r="G5" s="70"/>
      <c r="H5" s="26" t="s">
        <v>12</v>
      </c>
      <c r="I5" s="26" t="s">
        <v>13</v>
      </c>
      <c r="J5" s="9" t="s">
        <v>14</v>
      </c>
      <c r="K5" s="26" t="s">
        <v>19</v>
      </c>
      <c r="L5" s="70" t="s">
        <v>18</v>
      </c>
      <c r="M5" s="70"/>
      <c r="N5" s="18" t="s">
        <v>22</v>
      </c>
      <c r="O5" s="18" t="s">
        <v>13</v>
      </c>
      <c r="P5" s="18" t="s">
        <v>14</v>
      </c>
      <c r="Q5" s="2" t="s">
        <v>19</v>
      </c>
      <c r="R5" s="22" t="s">
        <v>30</v>
      </c>
    </row>
    <row r="6" spans="1:18" ht="15.75" thickBot="1" x14ac:dyDescent="0.3">
      <c r="A6" s="87"/>
      <c r="B6" s="88"/>
      <c r="C6" s="88"/>
      <c r="D6" s="27"/>
      <c r="E6" s="77" t="s">
        <v>16</v>
      </c>
      <c r="F6" s="77"/>
      <c r="G6" s="77"/>
      <c r="H6" s="8" t="s">
        <v>11</v>
      </c>
      <c r="I6" s="8" t="s">
        <v>11</v>
      </c>
      <c r="J6" s="5" t="s">
        <v>15</v>
      </c>
      <c r="K6" s="5" t="s">
        <v>20</v>
      </c>
      <c r="L6" s="77" t="s">
        <v>16</v>
      </c>
      <c r="M6" s="77"/>
      <c r="N6" s="5" t="s">
        <v>11</v>
      </c>
      <c r="O6" s="5" t="s">
        <v>11</v>
      </c>
      <c r="P6" s="5" t="s">
        <v>23</v>
      </c>
      <c r="Q6" s="5" t="s">
        <v>10</v>
      </c>
      <c r="R6" s="23" t="s">
        <v>31</v>
      </c>
    </row>
    <row r="7" spans="1:18" x14ac:dyDescent="0.3">
      <c r="A7" s="71">
        <f>hazards!A1</f>
        <v>0</v>
      </c>
      <c r="B7" s="53"/>
      <c r="C7" s="53"/>
      <c r="D7" s="40"/>
      <c r="E7" s="53"/>
      <c r="F7" s="53"/>
      <c r="G7" s="53"/>
      <c r="H7" s="53"/>
      <c r="I7" s="53"/>
      <c r="J7" s="53">
        <f>H7*I7</f>
        <v>0</v>
      </c>
      <c r="K7" s="53"/>
      <c r="L7" s="53"/>
      <c r="M7" s="53"/>
      <c r="N7" s="53"/>
      <c r="O7" s="53"/>
      <c r="P7" s="53">
        <f>N7*O7</f>
        <v>0</v>
      </c>
      <c r="Q7" s="53"/>
      <c r="R7" s="57"/>
    </row>
    <row r="8" spans="1:18" x14ac:dyDescent="0.3">
      <c r="A8" s="72"/>
      <c r="B8" s="55"/>
      <c r="C8" s="55"/>
      <c r="D8" s="41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8"/>
    </row>
    <row r="9" spans="1:18" x14ac:dyDescent="0.3">
      <c r="A9" s="72"/>
      <c r="B9" s="55"/>
      <c r="C9" s="55"/>
      <c r="D9" s="41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8"/>
    </row>
    <row r="10" spans="1:18" ht="15" thickBot="1" x14ac:dyDescent="0.35">
      <c r="A10" s="73"/>
      <c r="B10" s="54"/>
      <c r="C10" s="54"/>
      <c r="D10" s="42"/>
      <c r="E10" s="79"/>
      <c r="F10" s="79"/>
      <c r="G10" s="79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9"/>
    </row>
    <row r="11" spans="1:18" x14ac:dyDescent="0.3">
      <c r="A11" s="71">
        <f>hazards!A2</f>
        <v>0</v>
      </c>
      <c r="B11" s="53"/>
      <c r="C11" s="53"/>
      <c r="D11" s="40"/>
      <c r="E11" s="53"/>
      <c r="F11" s="53"/>
      <c r="G11" s="53"/>
      <c r="H11" s="53"/>
      <c r="I11" s="53"/>
      <c r="J11" s="53">
        <f>H11*I11</f>
        <v>0</v>
      </c>
      <c r="K11" s="53"/>
      <c r="L11" s="53"/>
      <c r="M11" s="53"/>
      <c r="N11" s="53"/>
      <c r="O11" s="53"/>
      <c r="P11" s="53">
        <f>N11*O11</f>
        <v>0</v>
      </c>
      <c r="Q11" s="53"/>
      <c r="R11" s="57"/>
    </row>
    <row r="12" spans="1:18" x14ac:dyDescent="0.3">
      <c r="A12" s="72"/>
      <c r="B12" s="55"/>
      <c r="C12" s="55"/>
      <c r="D12" s="41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8"/>
    </row>
    <row r="13" spans="1:18" x14ac:dyDescent="0.3">
      <c r="A13" s="72"/>
      <c r="B13" s="55"/>
      <c r="C13" s="55"/>
      <c r="D13" s="41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8"/>
    </row>
    <row r="14" spans="1:18" ht="15" thickBot="1" x14ac:dyDescent="0.35">
      <c r="A14" s="73"/>
      <c r="B14" s="54"/>
      <c r="C14" s="54"/>
      <c r="D14" s="42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9"/>
    </row>
    <row r="15" spans="1:18" x14ac:dyDescent="0.3">
      <c r="A15" s="71">
        <f>hazards!A3</f>
        <v>0</v>
      </c>
      <c r="B15" s="53"/>
      <c r="C15" s="53"/>
      <c r="D15" s="40"/>
      <c r="E15" s="53"/>
      <c r="F15" s="53"/>
      <c r="G15" s="53"/>
      <c r="H15" s="53"/>
      <c r="I15" s="53"/>
      <c r="J15" s="53">
        <f>H15*I15</f>
        <v>0</v>
      </c>
      <c r="K15" s="53"/>
      <c r="L15" s="53"/>
      <c r="M15" s="53"/>
      <c r="N15" s="53"/>
      <c r="O15" s="53"/>
      <c r="P15" s="53">
        <f>N15*O15</f>
        <v>0</v>
      </c>
      <c r="Q15" s="53"/>
      <c r="R15" s="57"/>
    </row>
    <row r="16" spans="1:18" x14ac:dyDescent="0.3">
      <c r="A16" s="72"/>
      <c r="B16" s="55"/>
      <c r="C16" s="55"/>
      <c r="D16" s="41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8"/>
    </row>
    <row r="17" spans="1:18" x14ac:dyDescent="0.3">
      <c r="A17" s="72"/>
      <c r="B17" s="55"/>
      <c r="C17" s="55"/>
      <c r="D17" s="41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8"/>
    </row>
    <row r="18" spans="1:18" ht="15" thickBot="1" x14ac:dyDescent="0.35">
      <c r="A18" s="73"/>
      <c r="B18" s="54"/>
      <c r="C18" s="54"/>
      <c r="D18" s="42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9"/>
    </row>
    <row r="19" spans="1:18" x14ac:dyDescent="0.3">
      <c r="A19" s="71">
        <f>hazards!A4</f>
        <v>0</v>
      </c>
      <c r="B19" s="53"/>
      <c r="C19" s="53"/>
      <c r="D19" s="43"/>
      <c r="E19" s="53"/>
      <c r="F19" s="53"/>
      <c r="G19" s="53"/>
      <c r="H19" s="53"/>
      <c r="I19" s="53"/>
      <c r="J19" s="53">
        <f>H19*I19</f>
        <v>0</v>
      </c>
      <c r="K19" s="53"/>
      <c r="L19" s="53"/>
      <c r="M19" s="53"/>
      <c r="N19" s="53"/>
      <c r="O19" s="53"/>
      <c r="P19" s="53">
        <f>N19*O19</f>
        <v>0</v>
      </c>
      <c r="Q19" s="53"/>
      <c r="R19" s="57"/>
    </row>
    <row r="20" spans="1:18" x14ac:dyDescent="0.3">
      <c r="A20" s="72"/>
      <c r="B20" s="55"/>
      <c r="C20" s="55"/>
      <c r="D20" s="41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8"/>
    </row>
    <row r="21" spans="1:18" x14ac:dyDescent="0.3">
      <c r="A21" s="72"/>
      <c r="B21" s="55"/>
      <c r="C21" s="55"/>
      <c r="D21" s="41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8"/>
    </row>
    <row r="22" spans="1:18" ht="15" thickBot="1" x14ac:dyDescent="0.35">
      <c r="A22" s="73"/>
      <c r="B22" s="54"/>
      <c r="C22" s="54"/>
      <c r="D22" s="42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9"/>
    </row>
    <row r="23" spans="1:18" x14ac:dyDescent="0.3">
      <c r="A23" s="71">
        <f>hazards!A5</f>
        <v>0</v>
      </c>
      <c r="B23" s="53"/>
      <c r="C23" s="53"/>
      <c r="D23" s="43"/>
      <c r="E23" s="53"/>
      <c r="F23" s="53"/>
      <c r="G23" s="53"/>
      <c r="H23" s="53"/>
      <c r="I23" s="53"/>
      <c r="J23" s="53">
        <f>H23*I23</f>
        <v>0</v>
      </c>
      <c r="K23" s="53"/>
      <c r="L23" s="53"/>
      <c r="M23" s="53"/>
      <c r="N23" s="53"/>
      <c r="O23" s="53"/>
      <c r="P23" s="53">
        <f>N23*O23</f>
        <v>0</v>
      </c>
      <c r="Q23" s="53"/>
      <c r="R23" s="57"/>
    </row>
    <row r="24" spans="1:18" x14ac:dyDescent="0.3">
      <c r="A24" s="72"/>
      <c r="B24" s="55"/>
      <c r="C24" s="55"/>
      <c r="D24" s="41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8"/>
    </row>
    <row r="25" spans="1:18" x14ac:dyDescent="0.3">
      <c r="A25" s="72"/>
      <c r="B25" s="55"/>
      <c r="C25" s="55"/>
      <c r="D25" s="41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8"/>
    </row>
    <row r="26" spans="1:18" ht="15" thickBot="1" x14ac:dyDescent="0.35">
      <c r="A26" s="73"/>
      <c r="B26" s="54"/>
      <c r="C26" s="54"/>
      <c r="D26" s="42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9"/>
    </row>
    <row r="27" spans="1:18" ht="4.5" customHeight="1" thickBot="1" x14ac:dyDescent="0.3">
      <c r="A27" s="103"/>
      <c r="B27" s="52"/>
      <c r="C27" s="52"/>
      <c r="D27" s="14"/>
      <c r="E27" s="52"/>
      <c r="F27" s="52"/>
      <c r="G27" s="52"/>
      <c r="H27" s="14"/>
      <c r="I27" s="14"/>
      <c r="J27" s="14"/>
      <c r="K27" s="14"/>
      <c r="L27" s="52"/>
      <c r="M27" s="52"/>
      <c r="N27" s="14"/>
      <c r="O27" s="14"/>
      <c r="P27" s="14"/>
      <c r="Q27" s="14"/>
      <c r="R27" s="10"/>
    </row>
    <row r="28" spans="1:18" ht="18" customHeight="1" thickBot="1" x14ac:dyDescent="0.3">
      <c r="A28" s="101" t="s">
        <v>24</v>
      </c>
      <c r="B28" s="56"/>
      <c r="C28" s="56"/>
      <c r="D28" s="56"/>
      <c r="E28" s="56"/>
      <c r="F28" s="56"/>
      <c r="G28" s="56"/>
      <c r="H28" s="56"/>
      <c r="I28" s="56"/>
      <c r="J28" s="56"/>
      <c r="K28" s="16"/>
      <c r="L28" s="56" t="s">
        <v>25</v>
      </c>
      <c r="M28" s="56"/>
      <c r="N28" s="56"/>
      <c r="O28" s="56"/>
      <c r="P28" s="56"/>
      <c r="Q28" s="50"/>
      <c r="R28" s="51"/>
    </row>
    <row r="29" spans="1:18" ht="15.75" thickBot="1" x14ac:dyDescent="0.3">
      <c r="A29" s="3" t="s">
        <v>26</v>
      </c>
      <c r="B29" s="66"/>
      <c r="C29" s="66"/>
      <c r="D29" s="66"/>
      <c r="E29" s="6" t="s">
        <v>27</v>
      </c>
      <c r="F29" s="66"/>
      <c r="G29" s="66"/>
      <c r="H29" s="61" t="s">
        <v>28</v>
      </c>
      <c r="I29" s="61"/>
      <c r="J29" s="74">
        <v>0.64652777777777781</v>
      </c>
      <c r="K29" s="66"/>
      <c r="L29" s="6" t="s">
        <v>99</v>
      </c>
      <c r="M29" s="46"/>
      <c r="N29" s="46"/>
      <c r="O29" s="16"/>
      <c r="P29" s="16"/>
      <c r="Q29" s="16"/>
      <c r="R29" s="10"/>
    </row>
    <row r="30" spans="1:18" ht="15.75" thickBot="1" x14ac:dyDescent="0.3">
      <c r="A30" s="17"/>
      <c r="B30" s="16"/>
      <c r="C30" s="16"/>
      <c r="D30" s="4" t="s">
        <v>29</v>
      </c>
      <c r="E30" s="102"/>
      <c r="F30" s="102"/>
      <c r="G30" s="102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0"/>
    </row>
    <row r="31" spans="1:18" ht="15.75" thickBot="1" x14ac:dyDescent="0.3">
      <c r="A31" s="17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0"/>
    </row>
    <row r="32" spans="1:18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5"/>
      <c r="O32" s="1"/>
      <c r="P32" s="1"/>
      <c r="Q32" s="1"/>
    </row>
    <row r="33" spans="1:18" ht="15" thickBot="1" x14ac:dyDescent="0.3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13"/>
      <c r="P33" s="13"/>
      <c r="Q33" s="13"/>
      <c r="R33" s="1"/>
    </row>
    <row r="34" spans="1:18" ht="15" thickBot="1" x14ac:dyDescent="0.35">
      <c r="A34" s="60" t="s">
        <v>1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2"/>
      <c r="P34" s="62"/>
      <c r="Q34" s="62"/>
      <c r="R34" s="7"/>
    </row>
    <row r="35" spans="1:18" ht="15" thickBot="1" x14ac:dyDescent="0.35">
      <c r="A35" s="11" t="s">
        <v>0</v>
      </c>
      <c r="B35" s="93">
        <f>B2</f>
        <v>0</v>
      </c>
      <c r="C35" s="93"/>
      <c r="D35" s="94"/>
      <c r="E35" s="80" t="s">
        <v>5</v>
      </c>
      <c r="F35" s="81"/>
      <c r="G35" s="93">
        <f>G2</f>
        <v>0</v>
      </c>
      <c r="H35" s="93"/>
      <c r="I35" s="93"/>
      <c r="J35" s="93"/>
      <c r="K35" s="94"/>
      <c r="L35" s="12" t="s">
        <v>32</v>
      </c>
      <c r="M35" s="112">
        <f>M2</f>
        <v>42769</v>
      </c>
      <c r="N35" s="46"/>
      <c r="O35" s="61" t="s">
        <v>33</v>
      </c>
      <c r="P35" s="61"/>
      <c r="Q35" s="110">
        <f>Q2</f>
        <v>0.42222222222222222</v>
      </c>
      <c r="R35" s="111"/>
    </row>
    <row r="36" spans="1:18" ht="15" thickBot="1" x14ac:dyDescent="0.35">
      <c r="A36" s="82" t="s">
        <v>2</v>
      </c>
      <c r="B36" s="83"/>
      <c r="C36" s="46">
        <f>C3</f>
        <v>0</v>
      </c>
      <c r="D36" s="47"/>
      <c r="E36" s="89">
        <f>E3</f>
        <v>0</v>
      </c>
      <c r="F36" s="46"/>
      <c r="G36" s="46"/>
      <c r="H36" s="90"/>
      <c r="I36" s="90"/>
      <c r="J36" s="91"/>
      <c r="K36" s="92"/>
      <c r="L36" s="61" t="s">
        <v>4</v>
      </c>
      <c r="M36" s="61"/>
      <c r="N36" s="46" t="str">
        <f>N3</f>
        <v>NO</v>
      </c>
      <c r="O36" s="46"/>
      <c r="P36" s="46"/>
      <c r="Q36" s="46"/>
      <c r="R36" s="10"/>
    </row>
    <row r="37" spans="1:18" ht="15" thickBot="1" x14ac:dyDescent="0.35">
      <c r="A37" s="82" t="s">
        <v>3</v>
      </c>
      <c r="B37" s="83"/>
      <c r="C37" s="46">
        <f>C4</f>
        <v>0</v>
      </c>
      <c r="D37" s="47"/>
      <c r="E37" s="82" t="s">
        <v>6</v>
      </c>
      <c r="F37" s="83"/>
      <c r="G37" s="83"/>
      <c r="H37" s="46">
        <f>H4</f>
        <v>0</v>
      </c>
      <c r="I37" s="46"/>
      <c r="J37" s="62"/>
      <c r="K37" s="62"/>
      <c r="L37" s="6" t="s">
        <v>7</v>
      </c>
      <c r="M37" s="28" t="s">
        <v>35</v>
      </c>
      <c r="N37" s="61" t="s">
        <v>21</v>
      </c>
      <c r="O37" s="61"/>
      <c r="P37" s="61"/>
      <c r="Q37" s="46">
        <f>Q4</f>
        <v>0</v>
      </c>
      <c r="R37" s="47"/>
    </row>
    <row r="38" spans="1:18" x14ac:dyDescent="0.3">
      <c r="A38" s="84" t="s">
        <v>8</v>
      </c>
      <c r="B38" s="70"/>
      <c r="C38" s="70"/>
      <c r="D38" s="31" t="s">
        <v>9</v>
      </c>
      <c r="E38" s="70" t="s">
        <v>17</v>
      </c>
      <c r="F38" s="70"/>
      <c r="G38" s="70"/>
      <c r="H38" s="32" t="s">
        <v>12</v>
      </c>
      <c r="I38" s="32" t="s">
        <v>13</v>
      </c>
      <c r="J38" s="9" t="s">
        <v>14</v>
      </c>
      <c r="K38" s="32" t="s">
        <v>19</v>
      </c>
      <c r="L38" s="70" t="s">
        <v>18</v>
      </c>
      <c r="M38" s="70"/>
      <c r="N38" s="18" t="s">
        <v>22</v>
      </c>
      <c r="O38" s="18" t="s">
        <v>13</v>
      </c>
      <c r="P38" s="18" t="s">
        <v>14</v>
      </c>
      <c r="Q38" s="31" t="s">
        <v>19</v>
      </c>
      <c r="R38" s="22" t="s">
        <v>30</v>
      </c>
    </row>
    <row r="39" spans="1:18" ht="15" thickBot="1" x14ac:dyDescent="0.35">
      <c r="A39" s="87"/>
      <c r="B39" s="88"/>
      <c r="C39" s="88"/>
      <c r="D39" s="27"/>
      <c r="E39" s="77" t="s">
        <v>16</v>
      </c>
      <c r="F39" s="77"/>
      <c r="G39" s="77"/>
      <c r="H39" s="8" t="s">
        <v>11</v>
      </c>
      <c r="I39" s="8" t="s">
        <v>11</v>
      </c>
      <c r="J39" s="32" t="s">
        <v>15</v>
      </c>
      <c r="K39" s="32" t="s">
        <v>20</v>
      </c>
      <c r="L39" s="77" t="s">
        <v>16</v>
      </c>
      <c r="M39" s="77"/>
      <c r="N39" s="32" t="s">
        <v>11</v>
      </c>
      <c r="O39" s="32" t="s">
        <v>11</v>
      </c>
      <c r="P39" s="32" t="s">
        <v>23</v>
      </c>
      <c r="Q39" s="32" t="s">
        <v>10</v>
      </c>
      <c r="R39" s="23" t="s">
        <v>31</v>
      </c>
    </row>
    <row r="40" spans="1:18" x14ac:dyDescent="0.3">
      <c r="A40" s="95">
        <f>hazards!A6</f>
        <v>0</v>
      </c>
      <c r="B40" s="96"/>
      <c r="C40" s="96"/>
      <c r="D40" s="35"/>
      <c r="E40" s="109"/>
      <c r="F40" s="109"/>
      <c r="G40" s="109"/>
      <c r="H40" s="96"/>
      <c r="I40" s="96"/>
      <c r="J40" s="96">
        <f>H40*I40</f>
        <v>0</v>
      </c>
      <c r="K40" s="96"/>
      <c r="L40" s="109"/>
      <c r="M40" s="109"/>
      <c r="N40" s="96"/>
      <c r="O40" s="96"/>
      <c r="P40" s="96">
        <f>N40*O40</f>
        <v>0</v>
      </c>
      <c r="Q40" s="96"/>
      <c r="R40" s="104"/>
    </row>
    <row r="41" spans="1:18" x14ac:dyDescent="0.3">
      <c r="A41" s="97"/>
      <c r="B41" s="98"/>
      <c r="C41" s="98"/>
      <c r="D41" s="20"/>
      <c r="E41" s="107"/>
      <c r="F41" s="107"/>
      <c r="G41" s="107"/>
      <c r="H41" s="98"/>
      <c r="I41" s="98"/>
      <c r="J41" s="98"/>
      <c r="K41" s="98"/>
      <c r="L41" s="107"/>
      <c r="M41" s="107"/>
      <c r="N41" s="98"/>
      <c r="O41" s="98"/>
      <c r="P41" s="98"/>
      <c r="Q41" s="98"/>
      <c r="R41" s="105"/>
    </row>
    <row r="42" spans="1:18" x14ac:dyDescent="0.3">
      <c r="A42" s="97"/>
      <c r="B42" s="98"/>
      <c r="C42" s="98"/>
      <c r="D42" s="20"/>
      <c r="E42" s="107"/>
      <c r="F42" s="107"/>
      <c r="G42" s="107"/>
      <c r="H42" s="98"/>
      <c r="I42" s="98"/>
      <c r="J42" s="98"/>
      <c r="K42" s="98"/>
      <c r="L42" s="107"/>
      <c r="M42" s="107"/>
      <c r="N42" s="98"/>
      <c r="O42" s="98"/>
      <c r="P42" s="98"/>
      <c r="Q42" s="98"/>
      <c r="R42" s="105"/>
    </row>
    <row r="43" spans="1:18" ht="15" thickBot="1" x14ac:dyDescent="0.35">
      <c r="A43" s="99"/>
      <c r="B43" s="100"/>
      <c r="C43" s="100"/>
      <c r="D43" s="21"/>
      <c r="E43" s="108"/>
      <c r="F43" s="108"/>
      <c r="G43" s="108"/>
      <c r="H43" s="100"/>
      <c r="I43" s="100"/>
      <c r="J43" s="100"/>
      <c r="K43" s="100"/>
      <c r="L43" s="108"/>
      <c r="M43" s="108"/>
      <c r="N43" s="100"/>
      <c r="O43" s="100"/>
      <c r="P43" s="100"/>
      <c r="Q43" s="100"/>
      <c r="R43" s="106"/>
    </row>
    <row r="44" spans="1:18" x14ac:dyDescent="0.3">
      <c r="A44" s="95">
        <f>hazards!A7</f>
        <v>0</v>
      </c>
      <c r="B44" s="96"/>
      <c r="C44" s="96"/>
      <c r="D44" s="19"/>
      <c r="E44" s="109"/>
      <c r="F44" s="109"/>
      <c r="G44" s="109"/>
      <c r="H44" s="96"/>
      <c r="I44" s="96"/>
      <c r="J44" s="96">
        <f>H44*I44</f>
        <v>0</v>
      </c>
      <c r="K44" s="96"/>
      <c r="L44" s="109"/>
      <c r="M44" s="109"/>
      <c r="N44" s="96"/>
      <c r="O44" s="96"/>
      <c r="P44" s="96">
        <f>N44*O44</f>
        <v>0</v>
      </c>
      <c r="Q44" s="96"/>
      <c r="R44" s="104"/>
    </row>
    <row r="45" spans="1:18" x14ac:dyDescent="0.3">
      <c r="A45" s="97"/>
      <c r="B45" s="98"/>
      <c r="C45" s="98"/>
      <c r="D45" s="20"/>
      <c r="E45" s="107"/>
      <c r="F45" s="107"/>
      <c r="G45" s="107"/>
      <c r="H45" s="98"/>
      <c r="I45" s="98"/>
      <c r="J45" s="98"/>
      <c r="K45" s="98"/>
      <c r="L45" s="107"/>
      <c r="M45" s="107"/>
      <c r="N45" s="98"/>
      <c r="O45" s="98"/>
      <c r="P45" s="98"/>
      <c r="Q45" s="98"/>
      <c r="R45" s="105"/>
    </row>
    <row r="46" spans="1:18" x14ac:dyDescent="0.3">
      <c r="A46" s="97"/>
      <c r="B46" s="98"/>
      <c r="C46" s="98"/>
      <c r="D46" s="20"/>
      <c r="E46" s="107"/>
      <c r="F46" s="107"/>
      <c r="G46" s="107"/>
      <c r="H46" s="98"/>
      <c r="I46" s="98"/>
      <c r="J46" s="98"/>
      <c r="K46" s="98"/>
      <c r="L46" s="107"/>
      <c r="M46" s="107"/>
      <c r="N46" s="98"/>
      <c r="O46" s="98"/>
      <c r="P46" s="98"/>
      <c r="Q46" s="98"/>
      <c r="R46" s="105"/>
    </row>
    <row r="47" spans="1:18" ht="15" thickBot="1" x14ac:dyDescent="0.35">
      <c r="A47" s="99"/>
      <c r="B47" s="100"/>
      <c r="C47" s="100"/>
      <c r="D47" s="21"/>
      <c r="E47" s="108"/>
      <c r="F47" s="108"/>
      <c r="G47" s="108"/>
      <c r="H47" s="100"/>
      <c r="I47" s="100"/>
      <c r="J47" s="100"/>
      <c r="K47" s="100"/>
      <c r="L47" s="108"/>
      <c r="M47" s="108"/>
      <c r="N47" s="100"/>
      <c r="O47" s="100"/>
      <c r="P47" s="100"/>
      <c r="Q47" s="100"/>
      <c r="R47" s="106"/>
    </row>
    <row r="48" spans="1:18" x14ac:dyDescent="0.3">
      <c r="A48" s="95">
        <f>hazards!A8</f>
        <v>0</v>
      </c>
      <c r="B48" s="96"/>
      <c r="C48" s="96"/>
      <c r="D48" s="19"/>
      <c r="E48" s="109"/>
      <c r="F48" s="109"/>
      <c r="G48" s="109"/>
      <c r="H48" s="96"/>
      <c r="I48" s="96"/>
      <c r="J48" s="96">
        <f>H48*I48</f>
        <v>0</v>
      </c>
      <c r="K48" s="96"/>
      <c r="L48" s="109"/>
      <c r="M48" s="109"/>
      <c r="N48" s="96"/>
      <c r="O48" s="96"/>
      <c r="P48" s="96">
        <f>N48*O48</f>
        <v>0</v>
      </c>
      <c r="Q48" s="96"/>
      <c r="R48" s="104"/>
    </row>
    <row r="49" spans="1:18" x14ac:dyDescent="0.3">
      <c r="A49" s="97"/>
      <c r="B49" s="98"/>
      <c r="C49" s="98"/>
      <c r="D49" s="20"/>
      <c r="E49" s="107"/>
      <c r="F49" s="107"/>
      <c r="G49" s="107"/>
      <c r="H49" s="98"/>
      <c r="I49" s="98"/>
      <c r="J49" s="98"/>
      <c r="K49" s="98"/>
      <c r="L49" s="107"/>
      <c r="M49" s="107"/>
      <c r="N49" s="98"/>
      <c r="O49" s="98"/>
      <c r="P49" s="98"/>
      <c r="Q49" s="98"/>
      <c r="R49" s="105"/>
    </row>
    <row r="50" spans="1:18" x14ac:dyDescent="0.3">
      <c r="A50" s="97"/>
      <c r="B50" s="98"/>
      <c r="C50" s="98"/>
      <c r="D50" s="20"/>
      <c r="E50" s="107"/>
      <c r="F50" s="107"/>
      <c r="G50" s="107"/>
      <c r="H50" s="98"/>
      <c r="I50" s="98"/>
      <c r="J50" s="98"/>
      <c r="K50" s="98"/>
      <c r="L50" s="107"/>
      <c r="M50" s="107"/>
      <c r="N50" s="98"/>
      <c r="O50" s="98"/>
      <c r="P50" s="98"/>
      <c r="Q50" s="98"/>
      <c r="R50" s="105"/>
    </row>
    <row r="51" spans="1:18" ht="15" thickBot="1" x14ac:dyDescent="0.35">
      <c r="A51" s="99"/>
      <c r="B51" s="100"/>
      <c r="C51" s="100"/>
      <c r="D51" s="21"/>
      <c r="E51" s="108"/>
      <c r="F51" s="108"/>
      <c r="G51" s="108"/>
      <c r="H51" s="100"/>
      <c r="I51" s="100"/>
      <c r="J51" s="100"/>
      <c r="K51" s="100"/>
      <c r="L51" s="108"/>
      <c r="M51" s="108"/>
      <c r="N51" s="100"/>
      <c r="O51" s="100"/>
      <c r="P51" s="100"/>
      <c r="Q51" s="100"/>
      <c r="R51" s="106"/>
    </row>
    <row r="52" spans="1:18" x14ac:dyDescent="0.3">
      <c r="A52" s="95">
        <f>hazards!A9</f>
        <v>0</v>
      </c>
      <c r="B52" s="96"/>
      <c r="C52" s="96"/>
      <c r="D52" s="19"/>
      <c r="E52" s="109"/>
      <c r="F52" s="109"/>
      <c r="G52" s="109"/>
      <c r="H52" s="96"/>
      <c r="I52" s="96"/>
      <c r="J52" s="96">
        <f>H52*I52</f>
        <v>0</v>
      </c>
      <c r="K52" s="96"/>
      <c r="L52" s="109"/>
      <c r="M52" s="109"/>
      <c r="N52" s="96"/>
      <c r="O52" s="96"/>
      <c r="P52" s="96">
        <f>N52*O52</f>
        <v>0</v>
      </c>
      <c r="Q52" s="96"/>
      <c r="R52" s="104"/>
    </row>
    <row r="53" spans="1:18" x14ac:dyDescent="0.3">
      <c r="A53" s="97"/>
      <c r="B53" s="98"/>
      <c r="C53" s="98"/>
      <c r="D53" s="20"/>
      <c r="E53" s="107"/>
      <c r="F53" s="107"/>
      <c r="G53" s="107"/>
      <c r="H53" s="98"/>
      <c r="I53" s="98"/>
      <c r="J53" s="98"/>
      <c r="K53" s="98"/>
      <c r="L53" s="107"/>
      <c r="M53" s="107"/>
      <c r="N53" s="98"/>
      <c r="O53" s="98"/>
      <c r="P53" s="98"/>
      <c r="Q53" s="98"/>
      <c r="R53" s="105"/>
    </row>
    <row r="54" spans="1:18" x14ac:dyDescent="0.3">
      <c r="A54" s="97"/>
      <c r="B54" s="98"/>
      <c r="C54" s="98"/>
      <c r="D54" s="20"/>
      <c r="E54" s="107"/>
      <c r="F54" s="107"/>
      <c r="G54" s="107"/>
      <c r="H54" s="98"/>
      <c r="I54" s="98"/>
      <c r="J54" s="98"/>
      <c r="K54" s="98"/>
      <c r="L54" s="107"/>
      <c r="M54" s="107"/>
      <c r="N54" s="98"/>
      <c r="O54" s="98"/>
      <c r="P54" s="98"/>
      <c r="Q54" s="98"/>
      <c r="R54" s="105"/>
    </row>
    <row r="55" spans="1:18" ht="15" thickBot="1" x14ac:dyDescent="0.35">
      <c r="A55" s="99"/>
      <c r="B55" s="100"/>
      <c r="C55" s="100"/>
      <c r="D55" s="21"/>
      <c r="E55" s="108"/>
      <c r="F55" s="108"/>
      <c r="G55" s="108"/>
      <c r="H55" s="100"/>
      <c r="I55" s="100"/>
      <c r="J55" s="100"/>
      <c r="K55" s="100"/>
      <c r="L55" s="108"/>
      <c r="M55" s="108"/>
      <c r="N55" s="100"/>
      <c r="O55" s="100"/>
      <c r="P55" s="100"/>
      <c r="Q55" s="100"/>
      <c r="R55" s="106"/>
    </row>
    <row r="56" spans="1:18" x14ac:dyDescent="0.3">
      <c r="A56" s="95"/>
      <c r="B56" s="96"/>
      <c r="C56" s="96"/>
      <c r="D56" s="19"/>
      <c r="E56" s="109"/>
      <c r="F56" s="109"/>
      <c r="G56" s="109"/>
      <c r="H56" s="96"/>
      <c r="I56" s="96"/>
      <c r="J56" s="96">
        <f>H56*I56</f>
        <v>0</v>
      </c>
      <c r="K56" s="96"/>
      <c r="L56" s="109"/>
      <c r="M56" s="109"/>
      <c r="N56" s="96"/>
      <c r="O56" s="96"/>
      <c r="P56" s="96">
        <f>N56*O56</f>
        <v>0</v>
      </c>
      <c r="Q56" s="96"/>
      <c r="R56" s="104"/>
    </row>
    <row r="57" spans="1:18" x14ac:dyDescent="0.3">
      <c r="A57" s="97"/>
      <c r="B57" s="98"/>
      <c r="C57" s="98"/>
      <c r="D57" s="20"/>
      <c r="E57" s="107"/>
      <c r="F57" s="107"/>
      <c r="G57" s="107"/>
      <c r="H57" s="98"/>
      <c r="I57" s="98"/>
      <c r="J57" s="98"/>
      <c r="K57" s="98"/>
      <c r="L57" s="107"/>
      <c r="M57" s="107"/>
      <c r="N57" s="98"/>
      <c r="O57" s="98"/>
      <c r="P57" s="98"/>
      <c r="Q57" s="98"/>
      <c r="R57" s="105"/>
    </row>
    <row r="58" spans="1:18" x14ac:dyDescent="0.3">
      <c r="A58" s="97"/>
      <c r="B58" s="98"/>
      <c r="C58" s="98"/>
      <c r="D58" s="20"/>
      <c r="E58" s="107"/>
      <c r="F58" s="107"/>
      <c r="G58" s="107"/>
      <c r="H58" s="98"/>
      <c r="I58" s="98"/>
      <c r="J58" s="98"/>
      <c r="K58" s="98"/>
      <c r="L58" s="107"/>
      <c r="M58" s="107"/>
      <c r="N58" s="98"/>
      <c r="O58" s="98"/>
      <c r="P58" s="98"/>
      <c r="Q58" s="98"/>
      <c r="R58" s="105"/>
    </row>
    <row r="59" spans="1:18" ht="15" thickBot="1" x14ac:dyDescent="0.35">
      <c r="A59" s="99"/>
      <c r="B59" s="100"/>
      <c r="C59" s="100"/>
      <c r="D59" s="21"/>
      <c r="E59" s="108"/>
      <c r="F59" s="108"/>
      <c r="G59" s="108"/>
      <c r="H59" s="100"/>
      <c r="I59" s="100"/>
      <c r="J59" s="100"/>
      <c r="K59" s="100"/>
      <c r="L59" s="108"/>
      <c r="M59" s="108"/>
      <c r="N59" s="100"/>
      <c r="O59" s="100"/>
      <c r="P59" s="100"/>
      <c r="Q59" s="100"/>
      <c r="R59" s="106"/>
    </row>
    <row r="60" spans="1:18" ht="5.25" customHeight="1" thickBot="1" x14ac:dyDescent="0.35">
      <c r="A60" s="103"/>
      <c r="B60" s="52"/>
      <c r="C60" s="52"/>
      <c r="D60" s="30"/>
      <c r="E60" s="52"/>
      <c r="F60" s="52"/>
      <c r="G60" s="52"/>
      <c r="H60" s="30"/>
      <c r="I60" s="30"/>
      <c r="J60" s="30"/>
      <c r="K60" s="30"/>
      <c r="L60" s="52"/>
      <c r="M60" s="52"/>
      <c r="N60" s="30"/>
      <c r="O60" s="30"/>
      <c r="P60" s="30"/>
      <c r="Q60" s="30"/>
      <c r="R60" s="10"/>
    </row>
    <row r="61" spans="1:18" ht="15" thickBot="1" x14ac:dyDescent="0.35">
      <c r="A61" s="101" t="s">
        <v>24</v>
      </c>
      <c r="B61" s="56"/>
      <c r="C61" s="56"/>
      <c r="D61" s="56"/>
      <c r="E61" s="56"/>
      <c r="F61" s="56"/>
      <c r="G61" s="56"/>
      <c r="H61" s="56"/>
      <c r="I61" s="56"/>
      <c r="J61" s="56"/>
      <c r="K61" s="25">
        <f>K28</f>
        <v>0</v>
      </c>
      <c r="L61" s="56" t="s">
        <v>25</v>
      </c>
      <c r="M61" s="56"/>
      <c r="N61" s="56"/>
      <c r="O61" s="56"/>
      <c r="P61" s="56"/>
      <c r="Q61" s="48">
        <f>Q28</f>
        <v>0</v>
      </c>
      <c r="R61" s="49"/>
    </row>
    <row r="62" spans="1:18" ht="15" thickBot="1" x14ac:dyDescent="0.35">
      <c r="A62" s="33" t="s">
        <v>26</v>
      </c>
      <c r="B62" s="46">
        <f>B29</f>
        <v>0</v>
      </c>
      <c r="C62" s="46"/>
      <c r="D62" s="46"/>
      <c r="E62" s="6" t="s">
        <v>27</v>
      </c>
      <c r="F62" s="46">
        <f>F29</f>
        <v>0</v>
      </c>
      <c r="G62" s="46"/>
      <c r="H62" s="61" t="s">
        <v>28</v>
      </c>
      <c r="I62" s="61"/>
      <c r="J62" s="113">
        <f>J29</f>
        <v>0.64652777777777781</v>
      </c>
      <c r="K62" s="113"/>
      <c r="L62" s="16"/>
      <c r="M62" s="16"/>
      <c r="N62" s="16"/>
      <c r="O62" s="16"/>
      <c r="P62" s="16"/>
      <c r="Q62" s="16"/>
      <c r="R62" s="10"/>
    </row>
    <row r="63" spans="1:18" ht="15" thickBot="1" x14ac:dyDescent="0.35">
      <c r="A63" s="17"/>
      <c r="B63" s="16"/>
      <c r="C63" s="16"/>
      <c r="D63" s="29" t="s">
        <v>29</v>
      </c>
      <c r="E63" s="46">
        <f>E30</f>
        <v>0</v>
      </c>
      <c r="F63" s="46"/>
      <c r="G63" s="4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0"/>
    </row>
    <row r="64" spans="1:18" ht="15" thickBot="1" x14ac:dyDescent="0.35">
      <c r="A64" s="17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0"/>
    </row>
    <row r="65" spans="1:18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5"/>
      <c r="O65" s="1"/>
      <c r="P65" s="1"/>
      <c r="Q65" s="1"/>
    </row>
    <row r="66" spans="1:18" x14ac:dyDescent="0.3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13"/>
      <c r="P66" s="13"/>
      <c r="Q66" s="13"/>
      <c r="R66" s="1"/>
    </row>
  </sheetData>
  <mergeCells count="251">
    <mergeCell ref="Q35:R35"/>
    <mergeCell ref="M35:N35"/>
    <mergeCell ref="Q4:R4"/>
    <mergeCell ref="B62:D62"/>
    <mergeCell ref="F62:G62"/>
    <mergeCell ref="H62:I62"/>
    <mergeCell ref="J62:K62"/>
    <mergeCell ref="E63:G63"/>
    <mergeCell ref="A60:C60"/>
    <mergeCell ref="E60:G60"/>
    <mergeCell ref="L60:M60"/>
    <mergeCell ref="A61:J61"/>
    <mergeCell ref="L61:P61"/>
    <mergeCell ref="Q56:Q59"/>
    <mergeCell ref="R56:R59"/>
    <mergeCell ref="E57:G57"/>
    <mergeCell ref="L57:M57"/>
    <mergeCell ref="E58:G58"/>
    <mergeCell ref="L58:M58"/>
    <mergeCell ref="E59:G59"/>
    <mergeCell ref="L59:M59"/>
    <mergeCell ref="K56:K59"/>
    <mergeCell ref="L56:M56"/>
    <mergeCell ref="N56:N59"/>
    <mergeCell ref="O56:O59"/>
    <mergeCell ref="P56:P59"/>
    <mergeCell ref="E56:G56"/>
    <mergeCell ref="H56:H59"/>
    <mergeCell ref="I56:I59"/>
    <mergeCell ref="J56:J59"/>
    <mergeCell ref="A56:C59"/>
    <mergeCell ref="Q52:Q55"/>
    <mergeCell ref="A52:C55"/>
    <mergeCell ref="R52:R55"/>
    <mergeCell ref="E53:G53"/>
    <mergeCell ref="L53:M53"/>
    <mergeCell ref="E54:G54"/>
    <mergeCell ref="L54:M54"/>
    <mergeCell ref="E55:G55"/>
    <mergeCell ref="L55:M55"/>
    <mergeCell ref="K52:K55"/>
    <mergeCell ref="L52:M52"/>
    <mergeCell ref="N52:N55"/>
    <mergeCell ref="O52:O55"/>
    <mergeCell ref="P52:P55"/>
    <mergeCell ref="E52:G52"/>
    <mergeCell ref="H52:H55"/>
    <mergeCell ref="I52:I55"/>
    <mergeCell ref="J52:J55"/>
    <mergeCell ref="L50:M50"/>
    <mergeCell ref="E51:G51"/>
    <mergeCell ref="L51:M51"/>
    <mergeCell ref="K48:K51"/>
    <mergeCell ref="L48:M48"/>
    <mergeCell ref="N48:N51"/>
    <mergeCell ref="O48:O51"/>
    <mergeCell ref="P48:P51"/>
    <mergeCell ref="E48:G48"/>
    <mergeCell ref="H48:H51"/>
    <mergeCell ref="I48:I51"/>
    <mergeCell ref="J48:J51"/>
    <mergeCell ref="A48:C51"/>
    <mergeCell ref="Q44:Q47"/>
    <mergeCell ref="R44:R47"/>
    <mergeCell ref="E45:G45"/>
    <mergeCell ref="L45:M45"/>
    <mergeCell ref="E46:G46"/>
    <mergeCell ref="L46:M46"/>
    <mergeCell ref="E47:G47"/>
    <mergeCell ref="L47:M47"/>
    <mergeCell ref="K44:K47"/>
    <mergeCell ref="L44:M44"/>
    <mergeCell ref="N44:N47"/>
    <mergeCell ref="O44:O47"/>
    <mergeCell ref="P44:P47"/>
    <mergeCell ref="E44:G44"/>
    <mergeCell ref="H44:H47"/>
    <mergeCell ref="I44:I47"/>
    <mergeCell ref="J44:J47"/>
    <mergeCell ref="A44:C47"/>
    <mergeCell ref="Q48:Q51"/>
    <mergeCell ref="R48:R51"/>
    <mergeCell ref="E49:G49"/>
    <mergeCell ref="L49:M49"/>
    <mergeCell ref="E50:G50"/>
    <mergeCell ref="Q40:Q43"/>
    <mergeCell ref="R40:R43"/>
    <mergeCell ref="E41:G41"/>
    <mergeCell ref="L41:M41"/>
    <mergeCell ref="E42:G42"/>
    <mergeCell ref="L42:M42"/>
    <mergeCell ref="E43:G43"/>
    <mergeCell ref="L43:M43"/>
    <mergeCell ref="K40:K43"/>
    <mergeCell ref="L40:M40"/>
    <mergeCell ref="N40:N43"/>
    <mergeCell ref="O40:O43"/>
    <mergeCell ref="P40:P43"/>
    <mergeCell ref="E40:G40"/>
    <mergeCell ref="H40:H43"/>
    <mergeCell ref="I40:I43"/>
    <mergeCell ref="J40:J43"/>
    <mergeCell ref="P15:P18"/>
    <mergeCell ref="O15:O18"/>
    <mergeCell ref="A40:C43"/>
    <mergeCell ref="A38:C38"/>
    <mergeCell ref="E38:G38"/>
    <mergeCell ref="L38:M38"/>
    <mergeCell ref="A39:C39"/>
    <mergeCell ref="E39:G39"/>
    <mergeCell ref="L39:M39"/>
    <mergeCell ref="A37:B37"/>
    <mergeCell ref="C37:D37"/>
    <mergeCell ref="E37:G37"/>
    <mergeCell ref="H37:K37"/>
    <mergeCell ref="O35:P35"/>
    <mergeCell ref="A28:J28"/>
    <mergeCell ref="E30:G30"/>
    <mergeCell ref="B29:D29"/>
    <mergeCell ref="F29:G29"/>
    <mergeCell ref="H29:I29"/>
    <mergeCell ref="J29:K29"/>
    <mergeCell ref="A27:C27"/>
    <mergeCell ref="E27:G27"/>
    <mergeCell ref="E26:G26"/>
    <mergeCell ref="M29:N29"/>
    <mergeCell ref="R7:R10"/>
    <mergeCell ref="Q23:Q26"/>
    <mergeCell ref="Q19:Q22"/>
    <mergeCell ref="Q15:Q18"/>
    <mergeCell ref="Q11:Q14"/>
    <mergeCell ref="Q7:Q10"/>
    <mergeCell ref="N37:P37"/>
    <mergeCell ref="A36:B36"/>
    <mergeCell ref="C36:D36"/>
    <mergeCell ref="E36:K36"/>
    <mergeCell ref="L36:M36"/>
    <mergeCell ref="N36:Q36"/>
    <mergeCell ref="A34:Q34"/>
    <mergeCell ref="B35:D35"/>
    <mergeCell ref="E35:F35"/>
    <mergeCell ref="G35:K35"/>
    <mergeCell ref="H7:H10"/>
    <mergeCell ref="K23:K26"/>
    <mergeCell ref="K19:K22"/>
    <mergeCell ref="K15:K18"/>
    <mergeCell ref="K11:K14"/>
    <mergeCell ref="K7:K10"/>
    <mergeCell ref="J15:J18"/>
    <mergeCell ref="I15:I18"/>
    <mergeCell ref="E2:F2"/>
    <mergeCell ref="E4:G4"/>
    <mergeCell ref="A5:C5"/>
    <mergeCell ref="B2:D2"/>
    <mergeCell ref="A3:B3"/>
    <mergeCell ref="C3:D3"/>
    <mergeCell ref="A4:B4"/>
    <mergeCell ref="C4:D4"/>
    <mergeCell ref="E25:G25"/>
    <mergeCell ref="A6:C6"/>
    <mergeCell ref="E6:G6"/>
    <mergeCell ref="E24:G24"/>
    <mergeCell ref="E20:G20"/>
    <mergeCell ref="E16:G16"/>
    <mergeCell ref="E12:G12"/>
    <mergeCell ref="E9:G9"/>
    <mergeCell ref="A23:C26"/>
    <mergeCell ref="A19:C22"/>
    <mergeCell ref="A15:C18"/>
    <mergeCell ref="A11:C14"/>
    <mergeCell ref="E23:G23"/>
    <mergeCell ref="E22:G22"/>
    <mergeCell ref="E21:G21"/>
    <mergeCell ref="E11:G11"/>
    <mergeCell ref="L9:M9"/>
    <mergeCell ref="H11:H14"/>
    <mergeCell ref="J23:J26"/>
    <mergeCell ref="I23:I26"/>
    <mergeCell ref="H23:H26"/>
    <mergeCell ref="J19:J22"/>
    <mergeCell ref="I19:I22"/>
    <mergeCell ref="H19:H22"/>
    <mergeCell ref="L24:M24"/>
    <mergeCell ref="L20:M20"/>
    <mergeCell ref="L16:M16"/>
    <mergeCell ref="L12:M12"/>
    <mergeCell ref="L21:M21"/>
    <mergeCell ref="H15:H18"/>
    <mergeCell ref="L11:M11"/>
    <mergeCell ref="E10:G10"/>
    <mergeCell ref="I11:I14"/>
    <mergeCell ref="L13:M13"/>
    <mergeCell ref="L26:M26"/>
    <mergeCell ref="L25:M25"/>
    <mergeCell ref="L23:M23"/>
    <mergeCell ref="L22:M22"/>
    <mergeCell ref="J11:J14"/>
    <mergeCell ref="E19:G19"/>
    <mergeCell ref="E18:G18"/>
    <mergeCell ref="E17:G17"/>
    <mergeCell ref="E15:G15"/>
    <mergeCell ref="E14:G14"/>
    <mergeCell ref="E13:G13"/>
    <mergeCell ref="A1:Q1"/>
    <mergeCell ref="G2:K2"/>
    <mergeCell ref="L3:M3"/>
    <mergeCell ref="E3:K3"/>
    <mergeCell ref="N3:Q3"/>
    <mergeCell ref="N4:P4"/>
    <mergeCell ref="E5:G5"/>
    <mergeCell ref="P7:P10"/>
    <mergeCell ref="O7:O10"/>
    <mergeCell ref="N7:N10"/>
    <mergeCell ref="J7:J10"/>
    <mergeCell ref="I7:I10"/>
    <mergeCell ref="A7:C10"/>
    <mergeCell ref="E8:G8"/>
    <mergeCell ref="O2:P2"/>
    <mergeCell ref="Q2:R2"/>
    <mergeCell ref="M2:N2"/>
    <mergeCell ref="L10:M10"/>
    <mergeCell ref="L8:M8"/>
    <mergeCell ref="L5:M5"/>
    <mergeCell ref="L6:M6"/>
    <mergeCell ref="L7:M7"/>
    <mergeCell ref="E7:G7"/>
    <mergeCell ref="H4:K4"/>
    <mergeCell ref="Q37:R37"/>
    <mergeCell ref="Q61:R61"/>
    <mergeCell ref="Q28:R28"/>
    <mergeCell ref="L27:M27"/>
    <mergeCell ref="L19:M19"/>
    <mergeCell ref="L18:M18"/>
    <mergeCell ref="L17:M17"/>
    <mergeCell ref="L15:M15"/>
    <mergeCell ref="L14:M14"/>
    <mergeCell ref="L28:P28"/>
    <mergeCell ref="N15:N18"/>
    <mergeCell ref="P11:P14"/>
    <mergeCell ref="O11:O14"/>
    <mergeCell ref="N11:N14"/>
    <mergeCell ref="P23:P26"/>
    <mergeCell ref="O23:O26"/>
    <mergeCell ref="N23:N26"/>
    <mergeCell ref="P19:P22"/>
    <mergeCell ref="O19:O22"/>
    <mergeCell ref="N19:N22"/>
    <mergeCell ref="R23:R26"/>
    <mergeCell ref="R19:R22"/>
    <mergeCell ref="R15:R18"/>
    <mergeCell ref="R11:R14"/>
  </mergeCells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Q2"/>
  <sheetViews>
    <sheetView workbookViewId="0">
      <selection activeCell="B15" sqref="B15"/>
    </sheetView>
  </sheetViews>
  <sheetFormatPr defaultRowHeight="14.4" x14ac:dyDescent="0.3"/>
  <cols>
    <col min="1" max="1" width="31.44140625" customWidth="1"/>
  </cols>
  <sheetData>
    <row r="2" spans="17:17" x14ac:dyDescent="0.25">
      <c r="Q2" s="34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27"/>
  <sheetViews>
    <sheetView zoomScaleNormal="100" workbookViewId="0">
      <selection activeCell="A3" sqref="A3:A13"/>
    </sheetView>
  </sheetViews>
  <sheetFormatPr defaultRowHeight="14.4" x14ac:dyDescent="0.3"/>
  <cols>
    <col min="1" max="1" width="18.109375" style="39" customWidth="1"/>
    <col min="2" max="2" width="20" style="39" customWidth="1"/>
    <col min="3" max="5" width="18.109375" style="39" customWidth="1"/>
    <col min="6" max="6" width="21.33203125" style="39" customWidth="1"/>
    <col min="7" max="11" width="18.109375" style="39" customWidth="1"/>
    <col min="12" max="12" width="19.88671875" style="39" customWidth="1"/>
    <col min="13" max="35" width="18.109375" style="39" customWidth="1"/>
  </cols>
  <sheetData>
    <row r="1" spans="1:35" s="36" customFormat="1" x14ac:dyDescent="0.25">
      <c r="A1" s="38" t="s">
        <v>38</v>
      </c>
      <c r="B1" s="38" t="s">
        <v>39</v>
      </c>
      <c r="C1" s="38" t="s">
        <v>40</v>
      </c>
      <c r="D1" s="38" t="s">
        <v>119</v>
      </c>
      <c r="E1" s="38" t="s">
        <v>41</v>
      </c>
      <c r="F1" s="38" t="s">
        <v>42</v>
      </c>
      <c r="G1" s="38" t="s">
        <v>43</v>
      </c>
      <c r="H1" s="38" t="s">
        <v>44</v>
      </c>
      <c r="I1" s="38" t="s">
        <v>45</v>
      </c>
      <c r="J1" s="38" t="s">
        <v>46</v>
      </c>
      <c r="K1" s="38" t="s">
        <v>47</v>
      </c>
      <c r="L1" s="38" t="s">
        <v>48</v>
      </c>
      <c r="M1" s="38" t="s">
        <v>49</v>
      </c>
      <c r="N1" s="38" t="s">
        <v>36</v>
      </c>
      <c r="O1" s="38" t="s">
        <v>50</v>
      </c>
      <c r="P1" s="38" t="s">
        <v>51</v>
      </c>
      <c r="Q1" s="38" t="s">
        <v>52</v>
      </c>
      <c r="R1" s="38" t="s">
        <v>53</v>
      </c>
      <c r="S1" s="38" t="s">
        <v>54</v>
      </c>
      <c r="T1" s="38" t="s">
        <v>55</v>
      </c>
      <c r="U1" s="38" t="s">
        <v>56</v>
      </c>
      <c r="V1" s="38" t="s">
        <v>57</v>
      </c>
      <c r="W1" s="38" t="s">
        <v>58</v>
      </c>
      <c r="X1" s="38" t="s">
        <v>59</v>
      </c>
      <c r="Y1" s="38" t="s">
        <v>60</v>
      </c>
      <c r="Z1" s="38" t="s">
        <v>61</v>
      </c>
      <c r="AA1" s="38" t="s">
        <v>37</v>
      </c>
      <c r="AB1" s="38" t="s">
        <v>62</v>
      </c>
      <c r="AC1" s="38" t="s">
        <v>98</v>
      </c>
      <c r="AD1" s="38" t="s">
        <v>63</v>
      </c>
      <c r="AE1" s="38" t="s">
        <v>64</v>
      </c>
      <c r="AF1" s="38" t="s">
        <v>65</v>
      </c>
      <c r="AG1" s="38" t="s">
        <v>66</v>
      </c>
      <c r="AH1" s="38" t="s">
        <v>67</v>
      </c>
      <c r="AI1" s="38" t="s">
        <v>68</v>
      </c>
    </row>
    <row r="3" spans="1:35" x14ac:dyDescent="0.25">
      <c r="A3" s="39" t="s">
        <v>97</v>
      </c>
      <c r="B3" s="45" t="s">
        <v>110</v>
      </c>
      <c r="C3" s="45" t="s">
        <v>104</v>
      </c>
      <c r="D3" s="44" t="s">
        <v>103</v>
      </c>
      <c r="E3" s="45" t="s">
        <v>103</v>
      </c>
      <c r="F3" s="45" t="s">
        <v>132</v>
      </c>
      <c r="G3" s="45" t="s">
        <v>137</v>
      </c>
      <c r="H3" s="45" t="s">
        <v>143</v>
      </c>
      <c r="I3" s="45" t="s">
        <v>153</v>
      </c>
      <c r="J3" s="45" t="s">
        <v>103</v>
      </c>
      <c r="K3" s="45" t="s">
        <v>103</v>
      </c>
      <c r="L3" s="45" t="s">
        <v>103</v>
      </c>
      <c r="M3" s="45" t="s">
        <v>103</v>
      </c>
      <c r="N3" s="45" t="s">
        <v>69</v>
      </c>
      <c r="O3" s="45" t="s">
        <v>198</v>
      </c>
      <c r="P3" s="45" t="s">
        <v>75</v>
      </c>
      <c r="R3" s="45" t="s">
        <v>103</v>
      </c>
      <c r="S3" s="45" t="s">
        <v>69</v>
      </c>
      <c r="T3" s="45" t="s">
        <v>103</v>
      </c>
      <c r="U3" s="45" t="s">
        <v>103</v>
      </c>
      <c r="V3" s="45" t="s">
        <v>69</v>
      </c>
      <c r="W3" s="45" t="s">
        <v>204</v>
      </c>
      <c r="X3" s="45" t="s">
        <v>103</v>
      </c>
      <c r="Y3" s="45" t="s">
        <v>85</v>
      </c>
      <c r="Z3" s="45" t="s">
        <v>75</v>
      </c>
      <c r="AA3" s="45" t="s">
        <v>129</v>
      </c>
      <c r="AB3" s="45" t="s">
        <v>103</v>
      </c>
      <c r="AC3" s="45" t="s">
        <v>69</v>
      </c>
      <c r="AD3" s="45" t="s">
        <v>103</v>
      </c>
      <c r="AE3" s="45" t="s">
        <v>230</v>
      </c>
      <c r="AF3" s="45" t="s">
        <v>103</v>
      </c>
      <c r="AG3" s="45" t="s">
        <v>103</v>
      </c>
      <c r="AH3" s="45" t="s">
        <v>103</v>
      </c>
      <c r="AI3" s="45" t="s">
        <v>78</v>
      </c>
    </row>
    <row r="4" spans="1:35" x14ac:dyDescent="0.25">
      <c r="A4" s="39" t="s">
        <v>103</v>
      </c>
      <c r="B4" s="45" t="s">
        <v>111</v>
      </c>
      <c r="C4" s="45" t="s">
        <v>103</v>
      </c>
      <c r="D4" s="44" t="s">
        <v>120</v>
      </c>
      <c r="E4" s="45" t="s">
        <v>128</v>
      </c>
      <c r="F4" s="45" t="s">
        <v>133</v>
      </c>
      <c r="G4" s="45" t="s">
        <v>138</v>
      </c>
      <c r="H4" s="45" t="s">
        <v>103</v>
      </c>
      <c r="I4" s="45" t="s">
        <v>103</v>
      </c>
      <c r="J4" s="45" t="s">
        <v>128</v>
      </c>
      <c r="K4" s="45" t="s">
        <v>83</v>
      </c>
      <c r="L4" s="45" t="s">
        <v>78</v>
      </c>
      <c r="M4" s="45" t="s">
        <v>85</v>
      </c>
      <c r="N4" s="45" t="s">
        <v>103</v>
      </c>
      <c r="O4" s="45" t="s">
        <v>85</v>
      </c>
      <c r="P4" s="45" t="s">
        <v>76</v>
      </c>
      <c r="R4" s="45" t="s">
        <v>72</v>
      </c>
      <c r="S4" s="45" t="s">
        <v>103</v>
      </c>
      <c r="T4" s="45" t="s">
        <v>73</v>
      </c>
      <c r="U4" s="45" t="s">
        <v>79</v>
      </c>
      <c r="V4" s="45" t="s">
        <v>75</v>
      </c>
      <c r="W4" s="45" t="s">
        <v>103</v>
      </c>
      <c r="X4" s="45" t="s">
        <v>72</v>
      </c>
      <c r="Y4" s="45" t="s">
        <v>72</v>
      </c>
      <c r="Z4" s="45" t="s">
        <v>76</v>
      </c>
      <c r="AA4" s="45" t="s">
        <v>219</v>
      </c>
      <c r="AB4" s="45" t="s">
        <v>72</v>
      </c>
      <c r="AC4" s="45" t="s">
        <v>223</v>
      </c>
      <c r="AD4" s="45" t="s">
        <v>101</v>
      </c>
      <c r="AE4" s="45" t="s">
        <v>103</v>
      </c>
      <c r="AF4" s="45" t="s">
        <v>231</v>
      </c>
      <c r="AG4" s="45" t="s">
        <v>72</v>
      </c>
      <c r="AH4" s="45" t="s">
        <v>136</v>
      </c>
      <c r="AI4" s="45" t="s">
        <v>233</v>
      </c>
    </row>
    <row r="5" spans="1:35" x14ac:dyDescent="0.25">
      <c r="A5" s="39" t="s">
        <v>104</v>
      </c>
      <c r="B5" s="45" t="s">
        <v>91</v>
      </c>
      <c r="C5" s="45" t="s">
        <v>114</v>
      </c>
      <c r="D5" s="44" t="s">
        <v>121</v>
      </c>
      <c r="E5" s="45" t="s">
        <v>78</v>
      </c>
      <c r="F5" s="45" t="s">
        <v>73</v>
      </c>
      <c r="G5" s="45" t="s">
        <v>103</v>
      </c>
      <c r="H5" s="45" t="s">
        <v>84</v>
      </c>
      <c r="I5" s="45" t="s">
        <v>154</v>
      </c>
      <c r="J5" s="45" t="s">
        <v>78</v>
      </c>
      <c r="K5" s="45" t="s">
        <v>160</v>
      </c>
      <c r="L5" s="45" t="s">
        <v>164</v>
      </c>
      <c r="M5" s="45" t="s">
        <v>87</v>
      </c>
      <c r="N5" s="45" t="s">
        <v>101</v>
      </c>
      <c r="O5" s="45" t="s">
        <v>75</v>
      </c>
      <c r="P5" s="45" t="s">
        <v>70</v>
      </c>
      <c r="R5" s="45" t="s">
        <v>129</v>
      </c>
      <c r="S5" s="45" t="s">
        <v>84</v>
      </c>
      <c r="T5" s="45" t="s">
        <v>82</v>
      </c>
      <c r="U5" s="45" t="s">
        <v>73</v>
      </c>
      <c r="V5" s="45" t="s">
        <v>103</v>
      </c>
      <c r="W5" s="45" t="s">
        <v>161</v>
      </c>
      <c r="X5" s="45" t="s">
        <v>134</v>
      </c>
      <c r="Y5" s="45" t="s">
        <v>91</v>
      </c>
      <c r="Z5" s="45" t="s">
        <v>103</v>
      </c>
      <c r="AA5" s="45" t="s">
        <v>75</v>
      </c>
      <c r="AB5" s="45" t="s">
        <v>161</v>
      </c>
      <c r="AC5" s="45" t="s">
        <v>72</v>
      </c>
      <c r="AD5" s="45" t="s">
        <v>225</v>
      </c>
      <c r="AE5" s="45" t="s">
        <v>73</v>
      </c>
      <c r="AF5" s="45" t="s">
        <v>191</v>
      </c>
      <c r="AG5" s="45" t="s">
        <v>129</v>
      </c>
      <c r="AH5" s="45" t="s">
        <v>72</v>
      </c>
      <c r="AI5" s="45" t="s">
        <v>234</v>
      </c>
    </row>
    <row r="6" spans="1:35" x14ac:dyDescent="0.25">
      <c r="A6" s="39" t="s">
        <v>84</v>
      </c>
      <c r="B6" s="45" t="s">
        <v>112</v>
      </c>
      <c r="C6" s="45" t="s">
        <v>87</v>
      </c>
      <c r="D6" s="44" t="s">
        <v>122</v>
      </c>
      <c r="E6" s="45" t="s">
        <v>129</v>
      </c>
      <c r="F6" s="45" t="s">
        <v>103</v>
      </c>
      <c r="G6" s="45" t="s">
        <v>139</v>
      </c>
      <c r="H6" s="45" t="s">
        <v>144</v>
      </c>
      <c r="I6" s="45" t="s">
        <v>155</v>
      </c>
      <c r="J6" s="45" t="s">
        <v>129</v>
      </c>
      <c r="K6" s="45" t="s">
        <v>112</v>
      </c>
      <c r="L6" s="45" t="s">
        <v>93</v>
      </c>
      <c r="M6" s="45" t="s">
        <v>112</v>
      </c>
      <c r="N6" s="45" t="s">
        <v>195</v>
      </c>
      <c r="O6" s="45" t="s">
        <v>76</v>
      </c>
      <c r="P6" s="45" t="s">
        <v>103</v>
      </c>
      <c r="R6" s="45" t="s">
        <v>79</v>
      </c>
      <c r="S6" s="45" t="s">
        <v>206</v>
      </c>
      <c r="T6" s="45" t="s">
        <v>84</v>
      </c>
      <c r="U6" s="45" t="s">
        <v>85</v>
      </c>
      <c r="V6" s="45" t="s">
        <v>78</v>
      </c>
      <c r="W6" s="45" t="s">
        <v>82</v>
      </c>
      <c r="X6" s="45" t="s">
        <v>214</v>
      </c>
      <c r="Y6" s="45" t="s">
        <v>74</v>
      </c>
      <c r="Z6" s="45" t="s">
        <v>84</v>
      </c>
      <c r="AA6" s="45" t="s">
        <v>76</v>
      </c>
      <c r="AB6" s="45" t="s">
        <v>112</v>
      </c>
      <c r="AC6" s="45" t="s">
        <v>134</v>
      </c>
      <c r="AD6" s="45" t="s">
        <v>195</v>
      </c>
      <c r="AE6" s="45" t="s">
        <v>113</v>
      </c>
      <c r="AF6" s="45" t="s">
        <v>107</v>
      </c>
      <c r="AG6" s="45" t="s">
        <v>79</v>
      </c>
      <c r="AH6" s="45" t="s">
        <v>232</v>
      </c>
      <c r="AI6" s="45" t="s">
        <v>84</v>
      </c>
    </row>
    <row r="7" spans="1:35" x14ac:dyDescent="0.25">
      <c r="A7" s="39" t="s">
        <v>105</v>
      </c>
      <c r="B7" s="45" t="s">
        <v>103</v>
      </c>
      <c r="C7" s="45" t="s">
        <v>115</v>
      </c>
      <c r="D7" s="44" t="s">
        <v>123</v>
      </c>
      <c r="E7" s="45" t="s">
        <v>122</v>
      </c>
      <c r="F7" s="45" t="s">
        <v>70</v>
      </c>
      <c r="G7" s="45" t="s">
        <v>140</v>
      </c>
      <c r="H7" s="45" t="s">
        <v>145</v>
      </c>
      <c r="I7" s="45" t="s">
        <v>112</v>
      </c>
      <c r="J7" s="45" t="s">
        <v>122</v>
      </c>
      <c r="K7" s="45" t="s">
        <v>161</v>
      </c>
      <c r="L7" s="45" t="s">
        <v>165</v>
      </c>
      <c r="M7" s="45" t="s">
        <v>96</v>
      </c>
      <c r="N7" s="45" t="s">
        <v>196</v>
      </c>
      <c r="O7" s="45" t="s">
        <v>70</v>
      </c>
      <c r="P7" s="45" t="s">
        <v>72</v>
      </c>
      <c r="R7" s="45" t="s">
        <v>73</v>
      </c>
      <c r="S7" s="45" t="s">
        <v>94</v>
      </c>
      <c r="T7" s="45" t="s">
        <v>86</v>
      </c>
      <c r="U7" s="45" t="s">
        <v>213</v>
      </c>
      <c r="V7" s="45" t="s">
        <v>129</v>
      </c>
      <c r="W7" s="45" t="s">
        <v>84</v>
      </c>
      <c r="X7" s="45" t="s">
        <v>113</v>
      </c>
      <c r="Y7" s="45" t="s">
        <v>124</v>
      </c>
      <c r="Z7" s="45" t="s">
        <v>85</v>
      </c>
      <c r="AA7" s="45" t="s">
        <v>70</v>
      </c>
      <c r="AB7" s="45" t="s">
        <v>136</v>
      </c>
      <c r="AC7" s="45" t="s">
        <v>112</v>
      </c>
      <c r="AD7" s="45" t="s">
        <v>226</v>
      </c>
      <c r="AE7" s="45" t="s">
        <v>84</v>
      </c>
      <c r="AF7" s="45" t="s">
        <v>228</v>
      </c>
      <c r="AG7" s="45" t="s">
        <v>73</v>
      </c>
      <c r="AH7" s="45" t="s">
        <v>133</v>
      </c>
      <c r="AI7" s="45" t="s">
        <v>191</v>
      </c>
    </row>
    <row r="8" spans="1:35" x14ac:dyDescent="0.25">
      <c r="A8" s="39" t="s">
        <v>102</v>
      </c>
      <c r="B8" s="45" t="s">
        <v>104</v>
      </c>
      <c r="C8" s="45" t="s">
        <v>116</v>
      </c>
      <c r="D8" s="44" t="s">
        <v>124</v>
      </c>
      <c r="E8" s="45" t="s">
        <v>123</v>
      </c>
      <c r="F8" s="45" t="s">
        <v>127</v>
      </c>
      <c r="G8" s="45" t="s">
        <v>141</v>
      </c>
      <c r="H8" s="45" t="s">
        <v>146</v>
      </c>
      <c r="I8" s="45" t="s">
        <v>156</v>
      </c>
      <c r="J8" s="45" t="s">
        <v>76</v>
      </c>
      <c r="K8" s="45" t="s">
        <v>134</v>
      </c>
      <c r="L8" s="45" t="s">
        <v>166</v>
      </c>
      <c r="M8" s="45" t="s">
        <v>186</v>
      </c>
      <c r="N8" s="45" t="s">
        <v>197</v>
      </c>
      <c r="O8" s="45" t="s">
        <v>103</v>
      </c>
      <c r="P8" s="45" t="s">
        <v>73</v>
      </c>
      <c r="R8" s="45" t="s">
        <v>83</v>
      </c>
      <c r="S8" s="45" t="s">
        <v>207</v>
      </c>
      <c r="T8" s="45" t="s">
        <v>209</v>
      </c>
      <c r="U8" s="45" t="s">
        <v>161</v>
      </c>
      <c r="V8" s="45" t="s">
        <v>73</v>
      </c>
      <c r="W8" s="45" t="s">
        <v>161</v>
      </c>
      <c r="X8" s="45" t="s">
        <v>200</v>
      </c>
      <c r="Y8" s="45" t="s">
        <v>76</v>
      </c>
      <c r="Z8" s="45" t="s">
        <v>74</v>
      </c>
      <c r="AA8" s="45" t="s">
        <v>71</v>
      </c>
      <c r="AB8" s="45" t="s">
        <v>222</v>
      </c>
      <c r="AC8" s="45" t="s">
        <v>224</v>
      </c>
      <c r="AD8" s="45" t="s">
        <v>72</v>
      </c>
      <c r="AE8" s="45" t="s">
        <v>74</v>
      </c>
      <c r="AF8" s="45" t="s">
        <v>229</v>
      </c>
      <c r="AG8" s="45" t="s">
        <v>83</v>
      </c>
      <c r="AI8" s="45" t="s">
        <v>127</v>
      </c>
    </row>
    <row r="9" spans="1:35" x14ac:dyDescent="0.25">
      <c r="A9" s="39" t="s">
        <v>106</v>
      </c>
      <c r="B9" s="45" t="s">
        <v>74</v>
      </c>
      <c r="C9" s="45" t="s">
        <v>117</v>
      </c>
      <c r="D9" s="44" t="s">
        <v>125</v>
      </c>
      <c r="E9" s="45" t="s">
        <v>124</v>
      </c>
      <c r="F9" s="45" t="s">
        <v>134</v>
      </c>
      <c r="G9" s="45" t="s">
        <v>120</v>
      </c>
      <c r="H9" s="45" t="s">
        <v>147</v>
      </c>
      <c r="I9" s="45" t="s">
        <v>84</v>
      </c>
      <c r="J9" s="45" t="s">
        <v>157</v>
      </c>
      <c r="K9" s="45" t="s">
        <v>93</v>
      </c>
      <c r="L9" s="45" t="s">
        <v>167</v>
      </c>
      <c r="M9" s="45" t="s">
        <v>187</v>
      </c>
      <c r="O9" s="45" t="s">
        <v>77</v>
      </c>
      <c r="P9" s="45" t="s">
        <v>81</v>
      </c>
      <c r="R9" s="45" t="s">
        <v>84</v>
      </c>
      <c r="S9" s="45" t="s">
        <v>208</v>
      </c>
      <c r="T9" s="45" t="s">
        <v>89</v>
      </c>
      <c r="U9" s="45" t="s">
        <v>90</v>
      </c>
      <c r="V9" s="45" t="s">
        <v>85</v>
      </c>
      <c r="W9" s="45" t="s">
        <v>205</v>
      </c>
      <c r="X9" s="45" t="s">
        <v>73</v>
      </c>
      <c r="Y9" s="45" t="s">
        <v>103</v>
      </c>
      <c r="Z9" s="45" t="s">
        <v>87</v>
      </c>
      <c r="AA9" s="45" t="s">
        <v>77</v>
      </c>
      <c r="AC9" s="45" t="s">
        <v>84</v>
      </c>
      <c r="AD9" s="45" t="s">
        <v>227</v>
      </c>
      <c r="AE9" s="45" t="s">
        <v>87</v>
      </c>
      <c r="AG9" s="45" t="s">
        <v>84</v>
      </c>
      <c r="AI9" s="45" t="s">
        <v>235</v>
      </c>
    </row>
    <row r="10" spans="1:35" x14ac:dyDescent="0.25">
      <c r="A10" s="39" t="s">
        <v>96</v>
      </c>
      <c r="B10" s="45" t="s">
        <v>113</v>
      </c>
      <c r="C10" s="45" t="s">
        <v>78</v>
      </c>
      <c r="D10" s="44" t="s">
        <v>126</v>
      </c>
      <c r="E10" s="45" t="s">
        <v>120</v>
      </c>
      <c r="F10" s="45" t="s">
        <v>135</v>
      </c>
      <c r="G10" s="45" t="s">
        <v>72</v>
      </c>
      <c r="H10" s="45" t="s">
        <v>136</v>
      </c>
      <c r="I10" s="45" t="s">
        <v>146</v>
      </c>
      <c r="J10" s="45" t="s">
        <v>120</v>
      </c>
      <c r="K10" s="45" t="s">
        <v>94</v>
      </c>
      <c r="L10" s="45" t="s">
        <v>168</v>
      </c>
      <c r="M10" s="45" t="s">
        <v>188</v>
      </c>
      <c r="O10" s="45" t="s">
        <v>97</v>
      </c>
      <c r="P10" s="45" t="s">
        <v>83</v>
      </c>
      <c r="R10" s="45" t="s">
        <v>85</v>
      </c>
      <c r="T10" s="45" t="s">
        <v>112</v>
      </c>
      <c r="V10" s="45" t="s">
        <v>74</v>
      </c>
      <c r="X10" s="45" t="s">
        <v>215</v>
      </c>
      <c r="Y10" s="45" t="s">
        <v>77</v>
      </c>
      <c r="Z10" s="45" t="s">
        <v>88</v>
      </c>
      <c r="AA10" s="45" t="s">
        <v>73</v>
      </c>
      <c r="AC10" s="45" t="s">
        <v>113</v>
      </c>
      <c r="AD10" s="45" t="s">
        <v>228</v>
      </c>
      <c r="AE10" s="45" t="s">
        <v>161</v>
      </c>
      <c r="AG10" s="45" t="s">
        <v>85</v>
      </c>
      <c r="AI10" s="45" t="s">
        <v>236</v>
      </c>
    </row>
    <row r="11" spans="1:35" x14ac:dyDescent="0.25">
      <c r="A11" s="39" t="s">
        <v>107</v>
      </c>
      <c r="C11" s="45" t="s">
        <v>118</v>
      </c>
      <c r="D11" s="44" t="s">
        <v>78</v>
      </c>
      <c r="E11" s="45" t="s">
        <v>83</v>
      </c>
      <c r="F11" s="45" t="s">
        <v>136</v>
      </c>
      <c r="G11" s="45" t="s">
        <v>121</v>
      </c>
      <c r="H11" s="45" t="s">
        <v>148</v>
      </c>
      <c r="I11" s="45" t="s">
        <v>65</v>
      </c>
      <c r="J11" s="45" t="s">
        <v>143</v>
      </c>
      <c r="K11" s="45" t="s">
        <v>95</v>
      </c>
      <c r="L11" s="45" t="s">
        <v>169</v>
      </c>
      <c r="M11" s="45" t="s">
        <v>189</v>
      </c>
      <c r="O11" s="45" t="s">
        <v>72</v>
      </c>
      <c r="P11" s="45" t="s">
        <v>142</v>
      </c>
      <c r="R11" s="45" t="s">
        <v>74</v>
      </c>
      <c r="T11" s="45" t="s">
        <v>91</v>
      </c>
      <c r="V11" s="45" t="s">
        <v>87</v>
      </c>
      <c r="X11" s="45" t="s">
        <v>79</v>
      </c>
      <c r="Y11" s="45" t="s">
        <v>78</v>
      </c>
      <c r="Z11" s="45" t="s">
        <v>161</v>
      </c>
      <c r="AA11" s="45" t="s">
        <v>80</v>
      </c>
      <c r="AD11" s="45" t="s">
        <v>91</v>
      </c>
      <c r="AE11" s="45" t="s">
        <v>112</v>
      </c>
      <c r="AG11" s="45" t="s">
        <v>74</v>
      </c>
      <c r="AI11" s="45" t="s">
        <v>237</v>
      </c>
    </row>
    <row r="12" spans="1:35" x14ac:dyDescent="0.25">
      <c r="A12" s="39" t="s">
        <v>108</v>
      </c>
      <c r="D12" s="44" t="s">
        <v>104</v>
      </c>
      <c r="E12" s="45" t="s">
        <v>104</v>
      </c>
      <c r="G12" s="45" t="s">
        <v>122</v>
      </c>
      <c r="H12" s="45" t="s">
        <v>113</v>
      </c>
      <c r="I12" s="45" t="s">
        <v>145</v>
      </c>
      <c r="J12" s="45" t="s">
        <v>83</v>
      </c>
      <c r="K12" s="45" t="s">
        <v>72</v>
      </c>
      <c r="L12" s="45" t="s">
        <v>170</v>
      </c>
      <c r="M12" s="45" t="s">
        <v>190</v>
      </c>
      <c r="O12" s="45" t="s">
        <v>121</v>
      </c>
      <c r="P12" s="45" t="s">
        <v>85</v>
      </c>
      <c r="R12" s="45" t="s">
        <v>161</v>
      </c>
      <c r="T12" s="45" t="s">
        <v>92</v>
      </c>
      <c r="X12" s="45" t="s">
        <v>83</v>
      </c>
      <c r="Y12" s="45" t="s">
        <v>129</v>
      </c>
      <c r="Z12" s="45" t="s">
        <v>112</v>
      </c>
      <c r="AA12" s="45" t="s">
        <v>82</v>
      </c>
      <c r="AD12" s="45" t="s">
        <v>229</v>
      </c>
      <c r="AE12" s="45" t="s">
        <v>94</v>
      </c>
      <c r="AG12" s="45" t="s">
        <v>161</v>
      </c>
      <c r="AI12" s="45" t="s">
        <v>238</v>
      </c>
    </row>
    <row r="13" spans="1:35" x14ac:dyDescent="0.25">
      <c r="A13" s="39" t="s">
        <v>109</v>
      </c>
      <c r="D13" s="44" t="s">
        <v>117</v>
      </c>
      <c r="E13" s="45" t="s">
        <v>127</v>
      </c>
      <c r="G13" s="45" t="s">
        <v>123</v>
      </c>
      <c r="H13" s="45" t="s">
        <v>100</v>
      </c>
      <c r="J13" s="45" t="s">
        <v>104</v>
      </c>
      <c r="K13" s="45" t="s">
        <v>74</v>
      </c>
      <c r="L13" s="45" t="s">
        <v>171</v>
      </c>
      <c r="M13" s="45" t="s">
        <v>191</v>
      </c>
      <c r="O13" s="45" t="s">
        <v>199</v>
      </c>
      <c r="P13" s="45" t="s">
        <v>74</v>
      </c>
      <c r="R13" s="45" t="s">
        <v>112</v>
      </c>
      <c r="T13" s="45" t="s">
        <v>210</v>
      </c>
      <c r="X13" s="45" t="s">
        <v>84</v>
      </c>
      <c r="Y13" s="45" t="s">
        <v>216</v>
      </c>
      <c r="Z13" s="45" t="s">
        <v>218</v>
      </c>
      <c r="AA13" s="45" t="s">
        <v>84</v>
      </c>
      <c r="AD13" s="45" t="s">
        <v>196</v>
      </c>
      <c r="AG13" s="45" t="s">
        <v>112</v>
      </c>
      <c r="AI13" s="45" t="s">
        <v>198</v>
      </c>
    </row>
    <row r="14" spans="1:35" x14ac:dyDescent="0.25">
      <c r="D14" s="44" t="s">
        <v>127</v>
      </c>
      <c r="E14" s="45" t="s">
        <v>117</v>
      </c>
      <c r="G14" s="45" t="s">
        <v>124</v>
      </c>
      <c r="H14" s="45" t="s">
        <v>149</v>
      </c>
      <c r="J14" s="45" t="s">
        <v>127</v>
      </c>
      <c r="K14" s="45" t="s">
        <v>84</v>
      </c>
      <c r="L14" s="45" t="s">
        <v>172</v>
      </c>
      <c r="M14" s="45" t="s">
        <v>192</v>
      </c>
      <c r="O14" s="45" t="s">
        <v>74</v>
      </c>
      <c r="P14" s="45" t="s">
        <v>88</v>
      </c>
      <c r="R14" s="45" t="s">
        <v>143</v>
      </c>
      <c r="T14" s="45" t="s">
        <v>94</v>
      </c>
      <c r="X14" s="45" t="s">
        <v>74</v>
      </c>
      <c r="Y14" s="45" t="s">
        <v>83</v>
      </c>
      <c r="Z14" s="45" t="s">
        <v>94</v>
      </c>
      <c r="AA14" s="45" t="s">
        <v>85</v>
      </c>
      <c r="AG14" s="45" t="s">
        <v>143</v>
      </c>
      <c r="AI14" s="45" t="s">
        <v>239</v>
      </c>
    </row>
    <row r="15" spans="1:35" x14ac:dyDescent="0.25">
      <c r="E15" s="45" t="s">
        <v>130</v>
      </c>
      <c r="G15" s="45" t="s">
        <v>85</v>
      </c>
      <c r="H15" s="45" t="s">
        <v>150</v>
      </c>
      <c r="J15" s="45" t="s">
        <v>117</v>
      </c>
      <c r="K15" s="45" t="s">
        <v>73</v>
      </c>
      <c r="L15" s="45" t="s">
        <v>173</v>
      </c>
      <c r="M15" s="45" t="s">
        <v>193</v>
      </c>
      <c r="O15" s="45" t="s">
        <v>104</v>
      </c>
      <c r="P15" s="45" t="s">
        <v>89</v>
      </c>
      <c r="R15" s="45" t="s">
        <v>94</v>
      </c>
      <c r="T15" s="45" t="s">
        <v>95</v>
      </c>
      <c r="Y15" s="45" t="s">
        <v>87</v>
      </c>
      <c r="Z15" s="45" t="s">
        <v>95</v>
      </c>
      <c r="AA15" s="45" t="s">
        <v>74</v>
      </c>
      <c r="AG15" s="45" t="s">
        <v>94</v>
      </c>
    </row>
    <row r="16" spans="1:35" x14ac:dyDescent="0.25">
      <c r="E16" s="45" t="s">
        <v>131</v>
      </c>
      <c r="G16" s="45" t="s">
        <v>127</v>
      </c>
      <c r="H16" s="45" t="s">
        <v>151</v>
      </c>
      <c r="J16" s="45" t="s">
        <v>130</v>
      </c>
      <c r="K16" s="45" t="s">
        <v>162</v>
      </c>
      <c r="L16" s="45" t="s">
        <v>174</v>
      </c>
      <c r="M16" s="45" t="s">
        <v>194</v>
      </c>
      <c r="O16" s="45" t="s">
        <v>91</v>
      </c>
      <c r="P16" s="45" t="s">
        <v>112</v>
      </c>
      <c r="T16" s="45" t="s">
        <v>211</v>
      </c>
      <c r="Y16" s="45" t="s">
        <v>137</v>
      </c>
      <c r="AA16" s="45" t="s">
        <v>88</v>
      </c>
      <c r="AG16" s="45" t="s">
        <v>87</v>
      </c>
    </row>
    <row r="17" spans="7:27" x14ac:dyDescent="0.25">
      <c r="G17" s="45" t="s">
        <v>142</v>
      </c>
      <c r="H17" s="45" t="s">
        <v>152</v>
      </c>
      <c r="J17" s="45" t="s">
        <v>158</v>
      </c>
      <c r="K17" s="45" t="s">
        <v>163</v>
      </c>
      <c r="L17" s="45" t="s">
        <v>175</v>
      </c>
      <c r="O17" s="45" t="s">
        <v>200</v>
      </c>
      <c r="P17" s="45" t="s">
        <v>90</v>
      </c>
      <c r="T17" s="45" t="s">
        <v>212</v>
      </c>
      <c r="Y17" s="45" t="s">
        <v>88</v>
      </c>
      <c r="AA17" s="45" t="s">
        <v>89</v>
      </c>
    </row>
    <row r="18" spans="7:27" x14ac:dyDescent="0.25">
      <c r="J18" s="45" t="s">
        <v>159</v>
      </c>
      <c r="L18" s="45" t="s">
        <v>176</v>
      </c>
      <c r="O18" s="45" t="s">
        <v>201</v>
      </c>
      <c r="P18" s="45" t="s">
        <v>91</v>
      </c>
      <c r="Y18" s="45" t="s">
        <v>134</v>
      </c>
      <c r="AA18" s="45" t="s">
        <v>112</v>
      </c>
    </row>
    <row r="19" spans="7:27" x14ac:dyDescent="0.25">
      <c r="L19" s="45" t="s">
        <v>177</v>
      </c>
      <c r="O19" s="45" t="s">
        <v>94</v>
      </c>
      <c r="P19" s="45" t="s">
        <v>93</v>
      </c>
      <c r="Y19" s="45" t="s">
        <v>112</v>
      </c>
      <c r="AA19" s="45" t="s">
        <v>90</v>
      </c>
    </row>
    <row r="20" spans="7:27" x14ac:dyDescent="0.25">
      <c r="L20" s="45" t="s">
        <v>178</v>
      </c>
      <c r="O20" s="45" t="s">
        <v>95</v>
      </c>
      <c r="P20" s="45" t="s">
        <v>95</v>
      </c>
      <c r="Y20" s="45" t="s">
        <v>113</v>
      </c>
      <c r="AA20" s="45" t="s">
        <v>95</v>
      </c>
    </row>
    <row r="21" spans="7:27" x14ac:dyDescent="0.25">
      <c r="L21" s="45" t="s">
        <v>179</v>
      </c>
      <c r="O21" s="45" t="s">
        <v>202</v>
      </c>
      <c r="P21" s="45" t="s">
        <v>203</v>
      </c>
      <c r="Y21" s="45" t="s">
        <v>217</v>
      </c>
      <c r="AA21" s="45" t="s">
        <v>220</v>
      </c>
    </row>
    <row r="22" spans="7:27" x14ac:dyDescent="0.25">
      <c r="L22" s="45" t="s">
        <v>180</v>
      </c>
      <c r="O22" s="45" t="s">
        <v>101</v>
      </c>
      <c r="AA22" s="45" t="s">
        <v>103</v>
      </c>
    </row>
    <row r="23" spans="7:27" x14ac:dyDescent="0.25">
      <c r="L23" s="45" t="s">
        <v>181</v>
      </c>
      <c r="O23" s="45" t="s">
        <v>195</v>
      </c>
      <c r="AA23" s="45" t="s">
        <v>221</v>
      </c>
    </row>
    <row r="24" spans="7:27" x14ac:dyDescent="0.25">
      <c r="L24" s="45" t="s">
        <v>182</v>
      </c>
      <c r="O24" s="45" t="s">
        <v>196</v>
      </c>
    </row>
    <row r="25" spans="7:27" x14ac:dyDescent="0.25">
      <c r="L25" s="45" t="s">
        <v>183</v>
      </c>
    </row>
    <row r="26" spans="7:27" x14ac:dyDescent="0.25">
      <c r="L26" s="45" t="s">
        <v>184</v>
      </c>
    </row>
    <row r="27" spans="7:27" x14ac:dyDescent="0.25">
      <c r="L27" s="45" t="s">
        <v>185</v>
      </c>
    </row>
  </sheetData>
  <sortState ref="AD3:AD8">
    <sortCondition ref="AD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Sheet1</vt:lpstr>
      <vt:lpstr>hazards</vt:lpstr>
      <vt:lpstr>CounterMeasures</vt:lpstr>
      <vt:lpstr>access_egress</vt:lpstr>
      <vt:lpstr>acetylene</vt:lpstr>
      <vt:lpstr>animals</vt:lpstr>
      <vt:lpstr>asbestos</vt:lpstr>
      <vt:lpstr>biological</vt:lpstr>
      <vt:lpstr>building_construction</vt:lpstr>
      <vt:lpstr>chemicals</vt:lpstr>
      <vt:lpstr>collapsed_building</vt:lpstr>
      <vt:lpstr>confined_space</vt:lpstr>
      <vt:lpstr>disease</vt:lpstr>
      <vt:lpstr>electricity</vt:lpstr>
      <vt:lpstr>environmental</vt:lpstr>
      <vt:lpstr>fall_from_height</vt:lpstr>
      <vt:lpstr>fatigue</vt:lpstr>
      <vt:lpstr>fire_explosion</vt:lpstr>
      <vt:lpstr>gas_mains_lpg</vt:lpstr>
      <vt:lpstr>insufficient_ppe</vt:lpstr>
      <vt:lpstr>machinery</vt:lpstr>
      <vt:lpstr>manual_handling</vt:lpstr>
      <vt:lpstr>moving_vehicles</vt:lpstr>
      <vt:lpstr>noise</vt:lpstr>
      <vt:lpstr>poor_housekeeping</vt:lpstr>
      <vt:lpstr>poor_lighting</vt:lpstr>
      <vt:lpstr>pressure_systems</vt:lpstr>
      <vt:lpstr>radiation</vt:lpstr>
      <vt:lpstr>smoke</vt:lpstr>
      <vt:lpstr>stacking_storage</vt:lpstr>
      <vt:lpstr>struck_object</vt:lpstr>
      <vt:lpstr>temperature</vt:lpstr>
      <vt:lpstr>uneven_surfaces</vt:lpstr>
      <vt:lpstr>unstable_ground</vt:lpstr>
      <vt:lpstr>ventilation</vt:lpstr>
      <vt:lpstr>vibration</vt:lpstr>
      <vt:lpstr>violence</vt:lpstr>
      <vt:lpstr>water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Parish</dc:creator>
  <cp:lastModifiedBy>James Parish</cp:lastModifiedBy>
  <cp:lastPrinted>2017-01-17T08:45:31Z</cp:lastPrinted>
  <dcterms:created xsi:type="dcterms:W3CDTF">2016-10-25T10:28:58Z</dcterms:created>
  <dcterms:modified xsi:type="dcterms:W3CDTF">2017-07-07T09:04:56Z</dcterms:modified>
</cp:coreProperties>
</file>